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8_{13C429AC-55D7-4E6D-B611-8B273A92C8D6}" xr6:coauthVersionLast="46" xr6:coauthVersionMax="46" xr10:uidLastSave="{00000000-0000-0000-0000-000000000000}"/>
  <bookViews>
    <workbookView xWindow="-120" yWindow="-120" windowWidth="29040" windowHeight="15840" firstSheet="2" activeTab="6" xr2:uid="{A26DFD44-7522-464B-86A8-027C1469CC6B}"/>
  </bookViews>
  <sheets>
    <sheet name="Main" sheetId="1" state="hidden" r:id="rId1"/>
    <sheet name="Sheet1" sheetId="4" state="hidden" r:id="rId2"/>
    <sheet name="Home" sheetId="5" r:id="rId3"/>
    <sheet name="Sheet4" sheetId="7" state="hidden" r:id="rId4"/>
    <sheet name="Employee Table" sheetId="2" r:id="rId5"/>
    <sheet name="Sheet3" sheetId="6" state="hidden" r:id="rId6"/>
    <sheet name="Payslip Table" sheetId="3" r:id="rId7"/>
  </sheets>
  <externalReferences>
    <externalReference r:id="rId8"/>
  </externalReferences>
  <definedNames>
    <definedName name="employees">'Employee Table'!$A$1:$G$497</definedName>
    <definedName name="employeesList">'Employee Table'!$A$2:$H$199</definedName>
    <definedName name="employeesSource">'Employee Table'!$A$2:$G$497</definedName>
    <definedName name="newPayslip">'Payslip Table'!$A$2:$AF$482</definedName>
    <definedName name="payslip">'Payslip Table'!$A$2:$X$483</definedName>
    <definedName name="TotalNetPay">'Payslip Table'!$T$2:$T$74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<sst xmlns="http://schemas.openxmlformats.org/spreadsheetml/2006/main" count="102" uniqueCount="51">
  <si>
    <t>Employee Name</t>
  </si>
  <si>
    <t>Age</t>
  </si>
  <si>
    <t>Gender</t>
  </si>
  <si>
    <t>Address</t>
  </si>
  <si>
    <t>Contact Number</t>
  </si>
  <si>
    <t>Email</t>
  </si>
  <si>
    <t>Department</t>
  </si>
  <si>
    <t>Transaction ID</t>
  </si>
  <si>
    <t>Basic Pay</t>
  </si>
  <si>
    <t>Overtime Pay</t>
  </si>
  <si>
    <t>Night Shift Pay</t>
  </si>
  <si>
    <t>Night Shift Overtime Pay</t>
  </si>
  <si>
    <t>Social Security System Premium</t>
  </si>
  <si>
    <t>PhilHealth Premium</t>
  </si>
  <si>
    <t>Home Development Mutual Fund</t>
  </si>
  <si>
    <t>Withholding Tax Premium</t>
  </si>
  <si>
    <t>Late</t>
  </si>
  <si>
    <t>Company Loan - CA</t>
  </si>
  <si>
    <t>Company Loan - VALE</t>
  </si>
  <si>
    <t>Government Loan - SSS</t>
  </si>
  <si>
    <t>Government Loan - HDMF</t>
  </si>
  <si>
    <t>Gross Computation</t>
  </si>
  <si>
    <t>Taxable Income</t>
  </si>
  <si>
    <t>Net Pay</t>
  </si>
  <si>
    <t>Method</t>
  </si>
  <si>
    <t>Tax Code</t>
  </si>
  <si>
    <t>Week</t>
  </si>
  <si>
    <t>Date</t>
  </si>
  <si>
    <t>Overtime Hours</t>
  </si>
  <si>
    <t>Regular Days</t>
  </si>
  <si>
    <t>Nighshift Pay</t>
  </si>
  <si>
    <t>Nighshift Days</t>
  </si>
  <si>
    <t>Nighshift Overtime Pay</t>
  </si>
  <si>
    <t>Nightshift Overtime Hours</t>
  </si>
  <si>
    <t>Employee No</t>
  </si>
  <si>
    <t>Talusan, Arah Jamaica</t>
  </si>
  <si>
    <t>Female</t>
  </si>
  <si>
    <t>ACCOUNTING</t>
  </si>
  <si>
    <t>CASH</t>
  </si>
  <si>
    <t>RA 8424</t>
  </si>
  <si>
    <t>arv</t>
  </si>
  <si>
    <t>Male</t>
  </si>
  <si>
    <t>Pangilinan, Lee Justine</t>
  </si>
  <si>
    <t>Maupay, Christine Joyce</t>
  </si>
  <si>
    <t>Cuellar, Leticia Miaflor</t>
  </si>
  <si>
    <t>Nicdao, Nikka Patricia</t>
  </si>
  <si>
    <t>Lacap, Aira Mateum</t>
  </si>
  <si>
    <t>Nuestro, Ericka Joyce</t>
  </si>
  <si>
    <t>Guillermo, Jan Paolo</t>
  </si>
  <si>
    <t>Ponferrada, John Leo</t>
  </si>
  <si>
    <t>Espiritu, Sophia Francesca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</si>
</sst>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164" formatCode="&quot;ABC&quot;\-000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theme="1"/>
      <name val="Tahoma"/>
      <family val="2"/>
    </font>
    <font>
      <sz val="16"/>
      <color rgb="FF00206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40"/>
        <bgColor indexed="64"/>
      </patternFill>
    </fill>
    <fill>
      <patternFill patternType="solid">
        <fgColor rgb="FF262626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6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0" fillId="3" borderId="0" xfId="0" applyFill="1"/>
    <xf numFmtId="0" fontId="2" fillId="4" borderId="0" xfId="0" applyFont="1" applyFill="1" applyAlignment="1">
      <alignment wrapText="1"/>
    </xf>
    <xf numFmtId="4" fontId="0" fillId="0" borderId="0" xfId="0" applyNumberFormat="1" applyAlignment="1">
      <alignment horizontal="center" vertical="center"/>
    </xf>
    <xf numFmtId="0" fontId="0" fillId="5" borderId="0" xfId="0" applyFill="1"/>
    <xf numFmtId="0" fontId="4" fillId="5" borderId="0" xfId="0" applyFont="1" applyFill="1" applyAlignment="1"/>
    <xf numFmtId="0" fontId="3" fillId="5" borderId="0" xfId="0" applyFont="1" applyFill="1"/>
    <xf numFmtId="0" fontId="0" fillId="0" borderId="0" xfId="0" applyFill="1"/>
    <xf numFmtId="0" fontId="2" fillId="0" borderId="0" xfId="0" applyFont="1" applyFill="1" applyAlignment="1">
      <alignment wrapText="1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4" fontId="0" fillId="0" borderId="1" xfId="0" applyNumberFormat="1" applyFont="1" applyFill="1" applyBorder="1" applyAlignment="1">
      <alignment horizontal="center" vertical="center"/>
    </xf>
    <xf numFmtId="4" fontId="0" fillId="0" borderId="2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62626"/>
      <color rgb="FF000040"/>
      <color rgb="FF800000"/>
      <color rgb="FF00C03C"/>
      <color rgb="FF00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8859274098778972E-2"/>
          <c:y val="5.505631350491566E-2"/>
          <c:w val="0.95114072590122101"/>
          <c:h val="0.94494368649508431"/>
        </c:manualLayout>
      </c:layout>
      <c:barChart>
        <c:barDir val="col"/>
        <c:grouping val="clustered"/>
        <c:varyColors val="0"/>
        <c:ser>
          <c:idx val="0"/>
          <c:order val="0"/>
          <c:tx>
            <c:v>Start - End</c:v>
          </c:tx>
          <c:spPr>
            <a:solidFill>
              <a:srgbClr val="435361"/>
            </a:solidFill>
            <a:ln>
              <a:solidFill>
                <a:srgbClr val="80808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 i="0" baseline="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[1]Statement!$C$4:$C$10</c:f>
              <c:strCache>
                <c:ptCount val="7"/>
                <c:pt idx="0">
                  <c:v>Total Income</c:v>
                </c:pt>
                <c:pt idx="1">
                  <c:v>Cost of Goods Sold</c:v>
                </c:pt>
                <c:pt idx="2">
                  <c:v>Gross Profit </c:v>
                </c:pt>
                <c:pt idx="3">
                  <c:v>Total Operating Expenses  </c:v>
                </c:pt>
                <c:pt idx="4">
                  <c:v>Operating Profit (EBIT)</c:v>
                </c:pt>
                <c:pt idx="5">
                  <c:v>Taxes    </c:v>
                </c:pt>
                <c:pt idx="6">
                  <c:v>Net Profit   </c:v>
                </c:pt>
              </c:strCache>
            </c:strRef>
          </c:cat>
          <c:val>
            <c:numRef>
              <c:f>[1]ChartsDataSheet!$BYG$2:$BYG$8</c:f>
              <c:numCache>
                <c:formatCode>General</c:formatCode>
                <c:ptCount val="7"/>
                <c:pt idx="0">
                  <c:v>4800</c:v>
                </c:pt>
                <c:pt idx="6">
                  <c:v>6023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C7-4FC6-904C-E865BB1E5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3"/>
        <c:axId val="454485696"/>
        <c:axId val="454486352"/>
      </c:barChart>
      <c:lineChart>
        <c:grouping val="standard"/>
        <c:varyColors val="0"/>
        <c:ser>
          <c:idx val="1"/>
          <c:order val="1"/>
          <c:tx>
            <c:v>Before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C0504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val>
            <c:numRef>
              <c:f>[1]ChartsDataSheet!$BYH$2:$BYH$8</c:f>
              <c:numCache>
                <c:formatCode>General</c:formatCode>
                <c:ptCount val="7"/>
                <c:pt idx="1">
                  <c:v>4800</c:v>
                </c:pt>
                <c:pt idx="2">
                  <c:v>3541</c:v>
                </c:pt>
                <c:pt idx="3">
                  <c:v>7082</c:v>
                </c:pt>
                <c:pt idx="4">
                  <c:v>5282</c:v>
                </c:pt>
                <c:pt idx="5">
                  <c:v>7023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C7-4FC6-904C-E865BB1E5A70}"/>
            </c:ext>
          </c:extLst>
        </c:ser>
        <c:ser>
          <c:idx val="2"/>
          <c:order val="2"/>
          <c:tx>
            <c:v>After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9BBB59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val>
            <c:numRef>
              <c:f>[1]ChartsDataSheet!$BYI$2:$BYI$8</c:f>
              <c:numCache>
                <c:formatCode>General</c:formatCode>
                <c:ptCount val="7"/>
                <c:pt idx="1">
                  <c:v>3541</c:v>
                </c:pt>
                <c:pt idx="2">
                  <c:v>7082</c:v>
                </c:pt>
                <c:pt idx="3">
                  <c:v>5282</c:v>
                </c:pt>
                <c:pt idx="4">
                  <c:v>7023</c:v>
                </c:pt>
                <c:pt idx="5">
                  <c:v>6023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C7-4FC6-904C-E865BB1E5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485696"/>
        <c:axId val="454486352"/>
      </c:lineChart>
      <c:scatterChart>
        <c:scatterStyle val="lineMarker"/>
        <c:varyColors val="0"/>
        <c:ser>
          <c:idx val="3"/>
          <c:order val="3"/>
          <c:tx>
            <c:v>Data label position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A6C7-4FC6-904C-E865BB1E5A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933F35-AD8D-4E43-93CD-115F9CA2A1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6C7-4FC6-904C-E865BB1E5A7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AD3812-AC6E-4D4A-8062-3B4EEB3CE0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6C7-4FC6-904C-E865BB1E5A7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0C015E-29DA-435C-8C04-D80CD6CBE1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6C7-4FC6-904C-E865BB1E5A7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BFC62D4-7576-4386-9010-2BBAB54168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6C7-4FC6-904C-E865BB1E5A7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F069D63-8D8D-4DB2-9532-948BDA9AD2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6C7-4FC6-904C-E865BB1E5A7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6C7-4FC6-904C-E865BB1E5A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yVal>
            <c:numRef>
              <c:f>[1]ChartsDataSheet!$BYJ$2:$BYJ$8</c:f>
              <c:numCache>
                <c:formatCode>General</c:formatCode>
                <c:ptCount val="7"/>
                <c:pt idx="1">
                  <c:v>4800</c:v>
                </c:pt>
                <c:pt idx="2">
                  <c:v>7082</c:v>
                </c:pt>
                <c:pt idx="3">
                  <c:v>7082</c:v>
                </c:pt>
                <c:pt idx="4">
                  <c:v>7023</c:v>
                </c:pt>
                <c:pt idx="5">
                  <c:v>7023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[1]ChartsDataSheet!$BYE$2:$BYE$8</c15:f>
                <c15:dlblRangeCache>
                  <c:ptCount val="7"/>
                  <c:pt idx="0">
                    <c:v>4800</c:v>
                  </c:pt>
                  <c:pt idx="1">
                    <c:v>-1259</c:v>
                  </c:pt>
                  <c:pt idx="2">
                    <c:v>3541</c:v>
                  </c:pt>
                  <c:pt idx="3">
                    <c:v>-1800</c:v>
                  </c:pt>
                  <c:pt idx="4">
                    <c:v>1741</c:v>
                  </c:pt>
                  <c:pt idx="5">
                    <c:v>-1000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A6C7-4FC6-904C-E865BB1E5A70}"/>
            </c:ext>
          </c:extLst>
        </c:ser>
        <c:ser>
          <c:idx val="4"/>
          <c:order val="4"/>
          <c:tx>
            <c:v>Cumulative</c:v>
          </c:tx>
          <c:spPr>
            <a:ln w="28575">
              <a:noFill/>
            </a:ln>
          </c:spPr>
          <c:marker>
            <c:symbol val="none"/>
          </c:marker>
          <c:yVal>
            <c:numRef>
              <c:f>[1]ChartsDataSheet!$BYF$2:$BYF$8</c:f>
              <c:numCache>
                <c:formatCode>General</c:formatCode>
                <c:ptCount val="7"/>
                <c:pt idx="0">
                  <c:v>4800</c:v>
                </c:pt>
                <c:pt idx="1">
                  <c:v>3541</c:v>
                </c:pt>
                <c:pt idx="2">
                  <c:v>7082</c:v>
                </c:pt>
                <c:pt idx="3">
                  <c:v>5282</c:v>
                </c:pt>
                <c:pt idx="4">
                  <c:v>7023</c:v>
                </c:pt>
                <c:pt idx="5">
                  <c:v>6023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C7-4FC6-904C-E865BB1E5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485696"/>
        <c:axId val="454486352"/>
      </c:scatterChart>
      <c:catAx>
        <c:axId val="45448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 sz="900"/>
            </a:pPr>
            <a:endParaRPr lang="en-US"/>
          </a:p>
        </c:txPr>
        <c:crossAx val="454486352"/>
        <c:crosses val="autoZero"/>
        <c:auto val="1"/>
        <c:lblAlgn val="ctr"/>
        <c:lblOffset val="0"/>
        <c:noMultiLvlLbl val="0"/>
      </c:catAx>
      <c:valAx>
        <c:axId val="45448635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4485696"/>
        <c:crosses val="autoZero"/>
        <c:crossBetween val="between"/>
      </c:valAx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r>
              <a:rPr lang="en-US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Employee Pay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'Payslip Table'!$E$1:$H$1</c:f>
              <c:strCache>
                <c:ptCount val="4"/>
                <c:pt idx="0">
                  <c:v>Basic Pay</c:v>
                </c:pt>
                <c:pt idx="1">
                  <c:v>Overtime Pay</c:v>
                </c:pt>
                <c:pt idx="2">
                  <c:v>Night Shift Pay</c:v>
                </c:pt>
                <c:pt idx="3">
                  <c:v>Night Shift Overtime Pay</c:v>
                </c:pt>
              </c:strCache>
            </c:strRef>
          </c:cat>
          <c:val>
            <c:numRef>
              <c:f>'Payslip Table'!$E$2:$H$2</c:f>
              <c:numCache>
                <c:formatCode>#,##0.00</c:formatCode>
                <c:ptCount val="4"/>
                <c:pt idx="0">
                  <c:v>25000</c:v>
                </c:pt>
                <c:pt idx="1">
                  <c:v>2343.75</c:v>
                </c:pt>
                <c:pt idx="2">
                  <c:v>11000</c:v>
                </c:pt>
                <c:pt idx="3" formatCode="General">
                  <c:v>859.38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90-4781-A3FB-43186535B0C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'Payslip Table'!$E$1:$H$1</c:f>
              <c:strCache>
                <c:ptCount val="4"/>
                <c:pt idx="0">
                  <c:v>Basic Pay</c:v>
                </c:pt>
                <c:pt idx="1">
                  <c:v>Overtime Pay</c:v>
                </c:pt>
                <c:pt idx="2">
                  <c:v>Night Shift Pay</c:v>
                </c:pt>
                <c:pt idx="3">
                  <c:v>Night Shift Overtime Pay</c:v>
                </c:pt>
              </c:strCache>
            </c:strRef>
          </c:cat>
          <c:val>
            <c:numRef>
              <c:f>'Payslip Table'!$E$3:$H$3</c:f>
              <c:numCache>
                <c:formatCode>#,##0.00</c:formatCode>
                <c:ptCount val="4"/>
                <c:pt idx="0">
                  <c:v>35000</c:v>
                </c:pt>
                <c:pt idx="1">
                  <c:v>3125</c:v>
                </c:pt>
                <c:pt idx="2">
                  <c:v>5500</c:v>
                </c:pt>
                <c:pt idx="3" formatCode="General">
                  <c:v>859.38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90-4781-A3FB-43186535B0C5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'Payslip Table'!$E$1:$H$1</c:f>
              <c:strCache>
                <c:ptCount val="4"/>
                <c:pt idx="0">
                  <c:v>Basic Pay</c:v>
                </c:pt>
                <c:pt idx="1">
                  <c:v>Overtime Pay</c:v>
                </c:pt>
                <c:pt idx="2">
                  <c:v>Night Shift Pay</c:v>
                </c:pt>
                <c:pt idx="3">
                  <c:v>Night Shift Overtime Pay</c:v>
                </c:pt>
              </c:strCache>
            </c:strRef>
          </c:cat>
          <c:val>
            <c:numRef>
              <c:f>'Payslip Table'!#REF!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90-4781-A3FB-43186535B0C5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'Payslip Table'!$E$1:$H$1</c:f>
              <c:strCache>
                <c:ptCount val="4"/>
                <c:pt idx="0">
                  <c:v>Basic Pay</c:v>
                </c:pt>
                <c:pt idx="1">
                  <c:v>Overtime Pay</c:v>
                </c:pt>
                <c:pt idx="2">
                  <c:v>Night Shift Pay</c:v>
                </c:pt>
                <c:pt idx="3">
                  <c:v>Night Shift Overtime Pay</c:v>
                </c:pt>
              </c:strCache>
            </c:strRef>
          </c:cat>
          <c:val>
            <c:numRef>
              <c:f>'Payslip Table'!$E$4:$H$4</c:f>
              <c:numCache>
                <c:formatCode>#,##0.00</c:formatCode>
                <c:ptCount val="4"/>
                <c:pt idx="0">
                  <c:v>40000</c:v>
                </c:pt>
                <c:pt idx="1">
                  <c:v>3906.25</c:v>
                </c:pt>
                <c:pt idx="2">
                  <c:v>16500</c:v>
                </c:pt>
                <c:pt idx="3">
                  <c:v>2578.14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90-4781-A3FB-43186535B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5108496"/>
        <c:axId val="2075104336"/>
        <c:extLst>
          <c:ext xmlns:c15="http://schemas.microsoft.com/office/drawing/2012/chart" uri="{02D57815-91ED-43cb-92C2-25804820EDAC}">
            <c15:filteredBarSeries>
              <c15:ser>
                <c:idx val="4"/>
                <c:order val="4"/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'Payslip Table'!$E$5:$H$5</c15:sqref>
                        </c15:formulaRef>
                      </c:ext>
                    </c:extLst>
                    <c:numCache>
                      <c:formatCode>#,##0.00</c:formatCode>
                      <c:ptCount val="4"/>
                      <c:pt idx="0">
                        <c:v>45000</c:v>
                      </c:pt>
                      <c:pt idx="1">
                        <c:v>5468.75</c:v>
                      </c:pt>
                      <c:pt idx="2">
                        <c:v>27500</c:v>
                      </c:pt>
                      <c:pt idx="3">
                        <c:v>2578.14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8390-4781-A3FB-43186535B0C5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Table'!$E$6:$H$6</c15:sqref>
                        </c15:formulaRef>
                      </c:ext>
                    </c:extLst>
                    <c:numCache>
                      <c:formatCode>#,##0.00</c:formatCode>
                      <c:ptCount val="4"/>
                      <c:pt idx="0">
                        <c:v>55000</c:v>
                      </c:pt>
                      <c:pt idx="1">
                        <c:v>4687.5</c:v>
                      </c:pt>
                      <c:pt idx="2">
                        <c:v>22000</c:v>
                      </c:pt>
                      <c:pt idx="3">
                        <c:v>1718.76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390-4781-A3FB-43186535B0C5}"/>
                  </c:ext>
                </c:extLst>
              </c15:ser>
            </c15:filteredBarSeries>
            <c15:filteredBarSeries>
              <c15:ser>
                <c:idx val="6"/>
                <c:order val="6"/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Table'!$E$7:$H$7</c15:sqref>
                        </c15:formulaRef>
                      </c:ext>
                    </c:extLst>
                    <c:numCache>
                      <c:formatCode>#,##0.00</c:formatCode>
                      <c:ptCount val="4"/>
                      <c:pt idx="0">
                        <c:v>45000</c:v>
                      </c:pt>
                      <c:pt idx="1">
                        <c:v>3906.25</c:v>
                      </c:pt>
                      <c:pt idx="2">
                        <c:v>16500</c:v>
                      </c:pt>
                      <c:pt idx="3">
                        <c:v>1718.76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390-4781-A3FB-43186535B0C5}"/>
                  </c:ext>
                </c:extLst>
              </c15:ser>
            </c15:filteredBarSeries>
            <c15:filteredBarSeries>
              <c15:ser>
                <c:idx val="7"/>
                <c:order val="7"/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Table'!$E$8:$H$8</c15:sqref>
                        </c15:formulaRef>
                      </c:ext>
                    </c:extLst>
                    <c:numCache>
                      <c:formatCode>#,##0.00</c:formatCode>
                      <c:ptCount val="4"/>
                      <c:pt idx="0">
                        <c:v>50000</c:v>
                      </c:pt>
                      <c:pt idx="1">
                        <c:v>5468.75</c:v>
                      </c:pt>
                      <c:pt idx="2">
                        <c:v>27500</c:v>
                      </c:pt>
                      <c:pt idx="3" formatCode="General">
                        <c:v>859.38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390-4781-A3FB-43186535B0C5}"/>
                  </c:ext>
                </c:extLst>
              </c15:ser>
            </c15:filteredBarSeries>
            <c15:filteredBarSeries>
              <c15:ser>
                <c:idx val="8"/>
                <c:order val="8"/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Table'!$E$9:$H$9</c15:sqref>
                        </c15:formulaRef>
                      </c:ext>
                    </c:extLst>
                    <c:numCache>
                      <c:formatCode>#,##0.00</c:formatCode>
                      <c:ptCount val="4"/>
                      <c:pt idx="0">
                        <c:v>40000</c:v>
                      </c:pt>
                      <c:pt idx="1">
                        <c:v>3906.25</c:v>
                      </c:pt>
                      <c:pt idx="2">
                        <c:v>22000</c:v>
                      </c:pt>
                      <c:pt idx="3">
                        <c:v>4296.8999999999996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390-4781-A3FB-43186535B0C5}"/>
                  </c:ext>
                </c:extLst>
              </c15:ser>
            </c15:filteredBarSeries>
            <c15:filteredBarSeries>
              <c15:ser>
                <c:idx val="9"/>
                <c:order val="9"/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Table'!$E$10:$H$10</c15:sqref>
                        </c15:formulaRef>
                      </c:ext>
                    </c:extLst>
                    <c:numCache>
                      <c:formatCode>#,##0.00</c:formatCode>
                      <c:ptCount val="4"/>
                      <c:pt idx="0">
                        <c:v>35000</c:v>
                      </c:pt>
                      <c:pt idx="1">
                        <c:v>7031.25</c:v>
                      </c:pt>
                      <c:pt idx="2">
                        <c:v>27500</c:v>
                      </c:pt>
                      <c:pt idx="3">
                        <c:v>4296.8999999999996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390-4781-A3FB-43186535B0C5}"/>
                  </c:ext>
                </c:extLst>
              </c15:ser>
            </c15:filteredBarSeries>
            <c15:filteredBarSeries>
              <c15:ser>
                <c:idx val="10"/>
                <c:order val="10"/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Table'!$E$11:$H$11</c15:sqref>
                        </c15:formulaRef>
                      </c:ext>
                    </c:extLst>
                    <c:numCache>
                      <c:formatCode>#,##0.00</c:formatCode>
                      <c:ptCount val="4"/>
                      <c:pt idx="0">
                        <c:v>55000</c:v>
                      </c:pt>
                      <c:pt idx="1">
                        <c:v>3125</c:v>
                      </c:pt>
                      <c:pt idx="2">
                        <c:v>5500</c:v>
                      </c:pt>
                      <c:pt idx="3">
                        <c:v>4296.8999999999996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390-4781-A3FB-43186535B0C5}"/>
                  </c:ext>
                </c:extLst>
              </c15:ser>
            </c15:filteredBarSeries>
            <c15:filteredBarSeries>
              <c15:ser>
                <c:idx val="11"/>
                <c:order val="11"/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Table'!$E$12:$H$12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390-4781-A3FB-43186535B0C5}"/>
                  </c:ext>
                </c:extLst>
              </c15:ser>
            </c15:filteredBarSeries>
            <c15:filteredBarSeries>
              <c15:ser>
                <c:idx val="12"/>
                <c:order val="12"/>
                <c:spPr>
                  <a:solidFill>
                    <a:schemeClr val="accent1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Table'!$E$13:$H$13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390-4781-A3FB-43186535B0C5}"/>
                  </c:ext>
                </c:extLst>
              </c15:ser>
            </c15:filteredBarSeries>
            <c15:filteredBarSeries>
              <c15:ser>
                <c:idx val="13"/>
                <c:order val="13"/>
                <c:spPr>
                  <a:solidFill>
                    <a:schemeClr val="accent2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Table'!$E$14:$H$14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390-4781-A3FB-43186535B0C5}"/>
                  </c:ext>
                </c:extLst>
              </c15:ser>
            </c15:filteredBarSeries>
            <c15:filteredBarSeries>
              <c15:ser>
                <c:idx val="14"/>
                <c:order val="14"/>
                <c:spPr>
                  <a:solidFill>
                    <a:schemeClr val="accent3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Table'!$E$15:$H$15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390-4781-A3FB-43186535B0C5}"/>
                  </c:ext>
                </c:extLst>
              </c15:ser>
            </c15:filteredBarSeries>
            <c15:filteredBarSeries>
              <c15:ser>
                <c:idx val="15"/>
                <c:order val="15"/>
                <c:spPr>
                  <a:solidFill>
                    <a:schemeClr val="accent4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Table'!$E$16:$H$16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390-4781-A3FB-43186535B0C5}"/>
                  </c:ext>
                </c:extLst>
              </c15:ser>
            </c15:filteredBarSeries>
            <c15:filteredBarSeries>
              <c15:ser>
                <c:idx val="16"/>
                <c:order val="16"/>
                <c:spPr>
                  <a:solidFill>
                    <a:schemeClr val="accent5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Table'!$E$17:$H$17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390-4781-A3FB-43186535B0C5}"/>
                  </c:ext>
                </c:extLst>
              </c15:ser>
            </c15:filteredBarSeries>
            <c15:filteredBarSeries>
              <c15:ser>
                <c:idx val="17"/>
                <c:order val="17"/>
                <c:spPr>
                  <a:solidFill>
                    <a:schemeClr val="accent6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Table'!$E$18:$H$18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390-4781-A3FB-43186535B0C5}"/>
                  </c:ext>
                </c:extLst>
              </c15:ser>
            </c15:filteredBarSeries>
            <c15:filteredBarSeries>
              <c15:ser>
                <c:idx val="18"/>
                <c:order val="18"/>
                <c:spPr>
                  <a:solidFill>
                    <a:schemeClr val="accent1">
                      <a:lumMod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Table'!$E$19:$H$19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390-4781-A3FB-43186535B0C5}"/>
                  </c:ext>
                </c:extLst>
              </c15:ser>
            </c15:filteredBarSeries>
            <c15:filteredBarSeries>
              <c15:ser>
                <c:idx val="19"/>
                <c:order val="19"/>
                <c:spPr>
                  <a:solidFill>
                    <a:schemeClr val="accent2">
                      <a:lumMod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Table'!$E$20:$H$20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390-4781-A3FB-43186535B0C5}"/>
                  </c:ext>
                </c:extLst>
              </c15:ser>
            </c15:filteredBarSeries>
            <c15:filteredBarSeries>
              <c15:ser>
                <c:idx val="20"/>
                <c:order val="20"/>
                <c:spPr>
                  <a:solidFill>
                    <a:schemeClr val="accent3">
                      <a:lumMod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Table'!$E$21:$H$21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390-4781-A3FB-43186535B0C5}"/>
                  </c:ext>
                </c:extLst>
              </c15:ser>
            </c15:filteredBarSeries>
            <c15:filteredBarSeries>
              <c15:ser>
                <c:idx val="21"/>
                <c:order val="21"/>
                <c:spPr>
                  <a:solidFill>
                    <a:schemeClr val="accent4">
                      <a:lumMod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Table'!$E$22:$H$22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390-4781-A3FB-43186535B0C5}"/>
                  </c:ext>
                </c:extLst>
              </c15:ser>
            </c15:filteredBarSeries>
            <c15:filteredBarSeries>
              <c15:ser>
                <c:idx val="22"/>
                <c:order val="22"/>
                <c:spPr>
                  <a:solidFill>
                    <a:schemeClr val="accent5">
                      <a:lumMod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Table'!$E$23:$H$23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390-4781-A3FB-43186535B0C5}"/>
                  </c:ext>
                </c:extLst>
              </c15:ser>
            </c15:filteredBarSeries>
            <c15:filteredBarSeries>
              <c15:ser>
                <c:idx val="23"/>
                <c:order val="23"/>
                <c:spPr>
                  <a:solidFill>
                    <a:schemeClr val="accent6">
                      <a:lumMod val="8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Table'!$E$24:$H$24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390-4781-A3FB-43186535B0C5}"/>
                  </c:ext>
                </c:extLst>
              </c15:ser>
            </c15:filteredBarSeries>
            <c15:filteredBarSeries>
              <c15:ser>
                <c:idx val="24"/>
                <c:order val="24"/>
                <c:spPr>
                  <a:solidFill>
                    <a:schemeClr val="accent1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Table'!$E$25:$H$25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390-4781-A3FB-43186535B0C5}"/>
                  </c:ext>
                </c:extLst>
              </c15:ser>
            </c15:filteredBarSeries>
            <c15:filteredBarSeries>
              <c15:ser>
                <c:idx val="25"/>
                <c:order val="25"/>
                <c:spPr>
                  <a:solidFill>
                    <a:schemeClr val="accent2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Table'!$E$26:$H$26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390-4781-A3FB-43186535B0C5}"/>
                  </c:ext>
                </c:extLst>
              </c15:ser>
            </c15:filteredBarSeries>
            <c15:filteredBarSeries>
              <c15:ser>
                <c:idx val="26"/>
                <c:order val="26"/>
                <c:spPr>
                  <a:solidFill>
                    <a:schemeClr val="accent3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Table'!$E$27:$H$27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390-4781-A3FB-43186535B0C5}"/>
                  </c:ext>
                </c:extLst>
              </c15:ser>
            </c15:filteredBarSeries>
            <c15:filteredBarSeries>
              <c15:ser>
                <c:idx val="27"/>
                <c:order val="27"/>
                <c:spPr>
                  <a:solidFill>
                    <a:schemeClr val="accent4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Table'!$E$28:$H$28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390-4781-A3FB-43186535B0C5}"/>
                  </c:ext>
                </c:extLst>
              </c15:ser>
            </c15:filteredBarSeries>
            <c15:filteredBarSeries>
              <c15:ser>
                <c:idx val="28"/>
                <c:order val="28"/>
                <c:spPr>
                  <a:solidFill>
                    <a:schemeClr val="accent5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Table'!$E$1:$H$1</c15:sqref>
                        </c15:formulaRef>
                      </c:ext>
                    </c:extLst>
                    <c:strCache>
                      <c:ptCount val="4"/>
                      <c:pt idx="0">
                        <c:v>Basic Pay</c:v>
                      </c:pt>
                      <c:pt idx="1">
                        <c:v>Overtime Pay</c:v>
                      </c:pt>
                      <c:pt idx="2">
                        <c:v>Night Shift Pay</c:v>
                      </c:pt>
                      <c:pt idx="3">
                        <c:v>Night Shift Overtime Pay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'Payslip Table'!$E$29:$H$29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390-4781-A3FB-43186535B0C5}"/>
                  </c:ext>
                </c:extLst>
              </c15:ser>
            </c15:filteredBarSeries>
          </c:ext>
        </c:extLst>
      </c:barChart>
      <c:catAx>
        <c:axId val="2075108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5104336"/>
        <c:crosses val="autoZero"/>
        <c:auto val="1"/>
        <c:lblAlgn val="ctr"/>
        <c:lblOffset val="100"/>
        <c:noMultiLvlLbl val="0"/>
      </c:catAx>
      <c:valAx>
        <c:axId val="2075104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510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rotWithShape="1">
      <a:gsLst>
        <a:gs pos="0">
          <a:schemeClr val="accent1">
            <a:satMod val="103000"/>
            <a:lumMod val="102000"/>
            <a:tint val="94000"/>
          </a:schemeClr>
        </a:gs>
        <a:gs pos="50000">
          <a:schemeClr val="accent1">
            <a:satMod val="110000"/>
            <a:lumMod val="100000"/>
            <a:shade val="100000"/>
          </a:schemeClr>
        </a:gs>
        <a:gs pos="100000">
          <a:schemeClr val="accent1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rgbClr val="002060"/>
      </a:solidFill>
      <a:prstDash val="solid"/>
      <a:miter lim="800000"/>
    </a:ln>
    <a:effectLst/>
    <a:scene3d>
      <a:camera prst="orthographicFront"/>
      <a:lightRig rig="threePt" dir="t"/>
    </a:scene3d>
    <a:sp3d>
      <a:bevelT prst="angle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r>
              <a:rPr lang="en-US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Contributions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'Payslip Table'!$I$1</c:f>
              <c:strCache>
                <c:ptCount val="1"/>
                <c:pt idx="0">
                  <c:v>Social Security System Premium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'Payslip Table'!$I$2:$I$29</c:f>
              <c:numCache>
                <c:formatCode>General</c:formatCode>
                <c:ptCount val="2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59-4936-A891-AC47367B3AE1}"/>
            </c:ext>
          </c:extLst>
        </c:ser>
        <c:ser>
          <c:idx val="1"/>
          <c:order val="1"/>
          <c:tx>
            <c:strRef>
              <c:f>'Payslip Table'!$J$1</c:f>
              <c:strCache>
                <c:ptCount val="1"/>
                <c:pt idx="0">
                  <c:v>PhilHealth Premium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'Payslip Table'!$J$2:$J$29</c:f>
              <c:numCache>
                <c:formatCode>#,##0.00</c:formatCode>
                <c:ptCount val="28"/>
                <c:pt idx="0">
                  <c:v>975</c:v>
                </c:pt>
                <c:pt idx="1">
                  <c:v>975</c:v>
                </c:pt>
                <c:pt idx="2" formatCode="General">
                  <c:v>975</c:v>
                </c:pt>
                <c:pt idx="3" formatCode="General">
                  <c:v>975</c:v>
                </c:pt>
                <c:pt idx="4" formatCode="General">
                  <c:v>975</c:v>
                </c:pt>
                <c:pt idx="5" formatCode="General">
                  <c:v>975</c:v>
                </c:pt>
                <c:pt idx="6" formatCode="General">
                  <c:v>975</c:v>
                </c:pt>
                <c:pt idx="7" formatCode="General">
                  <c:v>975</c:v>
                </c:pt>
                <c:pt idx="8" formatCode="General">
                  <c:v>975</c:v>
                </c:pt>
                <c:pt idx="9" formatCode="General">
                  <c:v>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59-4936-A891-AC47367B3AE1}"/>
            </c:ext>
          </c:extLst>
        </c:ser>
        <c:ser>
          <c:idx val="2"/>
          <c:order val="2"/>
          <c:tx>
            <c:strRef>
              <c:f>'Payslip Table'!$K$1</c:f>
              <c:strCache>
                <c:ptCount val="1"/>
                <c:pt idx="0">
                  <c:v>Home Development Mutual Fund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'Payslip Table'!$K$2:$K$29</c:f>
              <c:numCache>
                <c:formatCode>General</c:formatCode>
                <c:ptCount val="28"/>
                <c:pt idx="0">
                  <c:v>100</c:v>
                </c:pt>
                <c:pt idx="1">
                  <c:v>100</c:v>
                </c:pt>
                <c:pt idx="2" formatCode="#,##0.00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59-4936-A891-AC47367B3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365760"/>
        <c:axId val="96374496"/>
      </c:lineChart>
      <c:catAx>
        <c:axId val="9636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374496"/>
        <c:crosses val="autoZero"/>
        <c:auto val="1"/>
        <c:lblAlgn val="ctr"/>
        <c:lblOffset val="100"/>
        <c:noMultiLvlLbl val="0"/>
      </c:catAx>
      <c:valAx>
        <c:axId val="9637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36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1">
      <a:gsLst>
        <a:gs pos="0">
          <a:schemeClr val="accent2">
            <a:satMod val="103000"/>
            <a:lumMod val="102000"/>
            <a:tint val="94000"/>
          </a:schemeClr>
        </a:gs>
        <a:gs pos="50000">
          <a:schemeClr val="accent2">
            <a:satMod val="110000"/>
            <a:lumMod val="100000"/>
            <a:shade val="100000"/>
          </a:schemeClr>
        </a:gs>
        <a:gs pos="100000">
          <a:schemeClr val="accent2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rgbClr val="002060"/>
      </a:solidFill>
      <a:prstDash val="solid"/>
      <a:miter lim="800000"/>
    </a:ln>
    <a:effectLst/>
    <a:scene3d>
      <a:camera prst="orthographicFront"/>
      <a:lightRig rig="threePt" dir="t"/>
    </a:scene3d>
    <a:sp3d>
      <a:bevelT prst="angle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r>
              <a:rPr lang="en-US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Loans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'Payslip Table'!$N$1</c:f>
              <c:strCache>
                <c:ptCount val="1"/>
                <c:pt idx="0">
                  <c:v>Company Loan - CA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'Payslip Table'!$N$2:$N$29</c:f>
              <c:numCache>
                <c:formatCode>General</c:formatCode>
                <c:ptCount val="28"/>
                <c:pt idx="0">
                  <c:v>500</c:v>
                </c:pt>
                <c:pt idx="1">
                  <c:v>750</c:v>
                </c:pt>
                <c:pt idx="2" formatCode="#,##0.00">
                  <c:v>0</c:v>
                </c:pt>
                <c:pt idx="3">
                  <c:v>500</c:v>
                </c:pt>
                <c:pt idx="4">
                  <c:v>500</c:v>
                </c:pt>
                <c:pt idx="5">
                  <c:v>800</c:v>
                </c:pt>
                <c:pt idx="6" formatCode="#,##0.00">
                  <c:v>1000</c:v>
                </c:pt>
                <c:pt idx="7">
                  <c:v>750</c:v>
                </c:pt>
                <c:pt idx="8">
                  <c:v>200</c:v>
                </c:pt>
                <c:pt idx="9" formatCode="#,##0.0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A4-4373-9083-6CDD015F72D0}"/>
            </c:ext>
          </c:extLst>
        </c:ser>
        <c:ser>
          <c:idx val="1"/>
          <c:order val="1"/>
          <c:tx>
            <c:strRef>
              <c:f>'Payslip Table'!$O$1</c:f>
              <c:strCache>
                <c:ptCount val="1"/>
                <c:pt idx="0">
                  <c:v>Company Loan - VALE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'Payslip Table'!$O$2:$O$29</c:f>
              <c:numCache>
                <c:formatCode>General</c:formatCode>
                <c:ptCount val="28"/>
                <c:pt idx="0">
                  <c:v>0</c:v>
                </c:pt>
                <c:pt idx="1">
                  <c:v>250</c:v>
                </c:pt>
                <c:pt idx="2">
                  <c:v>700</c:v>
                </c:pt>
                <c:pt idx="3">
                  <c:v>750</c:v>
                </c:pt>
                <c:pt idx="4">
                  <c:v>750</c:v>
                </c:pt>
                <c:pt idx="5">
                  <c:v>0</c:v>
                </c:pt>
                <c:pt idx="6">
                  <c:v>0</c:v>
                </c:pt>
                <c:pt idx="7">
                  <c:v>750</c:v>
                </c:pt>
                <c:pt idx="8">
                  <c:v>500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A4-4373-9083-6CDD015F72D0}"/>
            </c:ext>
          </c:extLst>
        </c:ser>
        <c:ser>
          <c:idx val="2"/>
          <c:order val="2"/>
          <c:tx>
            <c:strRef>
              <c:f>'Payslip Table'!$P$1</c:f>
              <c:strCache>
                <c:ptCount val="1"/>
                <c:pt idx="0">
                  <c:v>Government Loan - SSS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'Payslip Table'!$P$2:$P$29</c:f>
              <c:numCache>
                <c:formatCode>#,##0.00</c:formatCode>
                <c:ptCount val="28"/>
                <c:pt idx="0">
                  <c:v>1200</c:v>
                </c:pt>
                <c:pt idx="1">
                  <c:v>1000</c:v>
                </c:pt>
                <c:pt idx="2">
                  <c:v>1400</c:v>
                </c:pt>
                <c:pt idx="3">
                  <c:v>2000</c:v>
                </c:pt>
                <c:pt idx="4">
                  <c:v>1200</c:v>
                </c:pt>
                <c:pt idx="5">
                  <c:v>1500</c:v>
                </c:pt>
                <c:pt idx="6">
                  <c:v>1000</c:v>
                </c:pt>
                <c:pt idx="7">
                  <c:v>2000</c:v>
                </c:pt>
                <c:pt idx="8">
                  <c:v>1700</c:v>
                </c:pt>
                <c:pt idx="9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A4-4373-9083-6CDD015F72D0}"/>
            </c:ext>
          </c:extLst>
        </c:ser>
        <c:ser>
          <c:idx val="3"/>
          <c:order val="3"/>
          <c:tx>
            <c:strRef>
              <c:f>'Payslip Table'!$Q$1</c:f>
              <c:strCache>
                <c:ptCount val="1"/>
                <c:pt idx="0">
                  <c:v>Government Loan - HDMF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'Payslip Table'!$Q$2:$Q$29</c:f>
              <c:numCache>
                <c:formatCode>#,##0.00</c:formatCode>
                <c:ptCount val="28"/>
                <c:pt idx="0">
                  <c:v>3000</c:v>
                </c:pt>
                <c:pt idx="1">
                  <c:v>2500</c:v>
                </c:pt>
                <c:pt idx="2">
                  <c:v>1400</c:v>
                </c:pt>
                <c:pt idx="3">
                  <c:v>1500</c:v>
                </c:pt>
                <c:pt idx="4">
                  <c:v>3500</c:v>
                </c:pt>
                <c:pt idx="5">
                  <c:v>2000</c:v>
                </c:pt>
                <c:pt idx="6">
                  <c:v>3800</c:v>
                </c:pt>
                <c:pt idx="7">
                  <c:v>2000</c:v>
                </c:pt>
                <c:pt idx="8">
                  <c:v>1300</c:v>
                </c:pt>
                <c:pt idx="9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A4-4373-9083-6CDD015F7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75078128"/>
        <c:axId val="2075083952"/>
        <c:axId val="103677968"/>
      </c:bar3DChart>
      <c:catAx>
        <c:axId val="20750781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5083952"/>
        <c:crosses val="autoZero"/>
        <c:auto val="1"/>
        <c:lblAlgn val="ctr"/>
        <c:lblOffset val="100"/>
        <c:noMultiLvlLbl val="0"/>
      </c:catAx>
      <c:valAx>
        <c:axId val="207508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5078128"/>
        <c:crosses val="autoZero"/>
        <c:crossBetween val="between"/>
      </c:valAx>
      <c:serAx>
        <c:axId val="103677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508395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rotWithShape="1">
      <a:gsLst>
        <a:gs pos="0">
          <a:schemeClr val="accent4">
            <a:satMod val="103000"/>
            <a:lumMod val="102000"/>
            <a:tint val="94000"/>
          </a:schemeClr>
        </a:gs>
        <a:gs pos="50000">
          <a:schemeClr val="accent4">
            <a:satMod val="110000"/>
            <a:lumMod val="100000"/>
            <a:shade val="100000"/>
          </a:schemeClr>
        </a:gs>
        <a:gs pos="100000">
          <a:schemeClr val="accent4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ysClr val="windowText" lastClr="000000"/>
      </a:solidFill>
      <a:prstDash val="solid"/>
      <a:miter lim="800000"/>
    </a:ln>
    <a:effectLst/>
    <a:scene3d>
      <a:camera prst="orthographicFront"/>
      <a:lightRig rig="threePt" dir="t"/>
    </a:scene3d>
    <a:sp3d>
      <a:bevelT prst="angle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326012003780142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'Payslip Table'!$T$1</c:f>
              <c:strCache>
                <c:ptCount val="1"/>
                <c:pt idx="0">
                  <c:v>Net Pay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'Payslip Table'!$T$2:$T$29</c:f>
              <c:numCache>
                <c:formatCode>#,##0.00</c:formatCode>
                <c:ptCount val="28"/>
                <c:pt idx="0">
                  <c:v>25991.040000000001</c:v>
                </c:pt>
                <c:pt idx="1">
                  <c:v>29902.5</c:v>
                </c:pt>
                <c:pt idx="2">
                  <c:v>43845.21</c:v>
                </c:pt>
                <c:pt idx="3">
                  <c:v>54874.38</c:v>
                </c:pt>
                <c:pt idx="4">
                  <c:v>55668.65</c:v>
                </c:pt>
                <c:pt idx="5">
                  <c:v>45950.94</c:v>
                </c:pt>
                <c:pt idx="6">
                  <c:v>56135.83</c:v>
                </c:pt>
                <c:pt idx="7">
                  <c:v>46883.75</c:v>
                </c:pt>
                <c:pt idx="8">
                  <c:v>51243.13</c:v>
                </c:pt>
                <c:pt idx="9">
                  <c:v>46286.879999999997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5A-4026-B377-3E456AC29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279248"/>
        <c:axId val="222279664"/>
        <c:axId val="103657552"/>
      </c:line3DChart>
      <c:catAx>
        <c:axId val="2222792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279664"/>
        <c:crosses val="autoZero"/>
        <c:auto val="1"/>
        <c:lblAlgn val="ctr"/>
        <c:lblOffset val="100"/>
        <c:noMultiLvlLbl val="0"/>
      </c:catAx>
      <c:valAx>
        <c:axId val="22227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279248"/>
        <c:crosses val="autoZero"/>
        <c:crossBetween val="between"/>
      </c:valAx>
      <c:serAx>
        <c:axId val="10365755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279664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rotWithShape="1">
      <a:gsLst>
        <a:gs pos="0">
          <a:schemeClr val="accent6">
            <a:satMod val="103000"/>
            <a:lumMod val="102000"/>
            <a:tint val="94000"/>
          </a:schemeClr>
        </a:gs>
        <a:gs pos="50000">
          <a:schemeClr val="accent6">
            <a:satMod val="110000"/>
            <a:lumMod val="100000"/>
            <a:shade val="100000"/>
          </a:schemeClr>
        </a:gs>
        <a:gs pos="100000">
          <a:schemeClr val="accent6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ysClr val="windowText" lastClr="000000"/>
      </a:solidFill>
      <a:prstDash val="solid"/>
      <a:miter lim="800000"/>
    </a:ln>
    <a:effectLst/>
    <a:scene3d>
      <a:camera prst="orthographicFront"/>
      <a:lightRig rig="threePt" dir="t"/>
    </a:scene3d>
    <a:sp3d>
      <a:bevelT prst="angle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6.jpeg"/><Relationship Id="rId6" Type="http://schemas.openxmlformats.org/officeDocument/2006/relationships/image" Target="../media/image7.jp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12</xdr:col>
      <xdr:colOff>378438</xdr:colOff>
      <xdr:row>12</xdr:row>
      <xdr:rowOff>32906</xdr:rowOff>
    </xdr:to>
    <xdr:graphicFrame macro="">
      <xdr:nvGraphicFramePr>
        <xdr:cNvPr id="10" name="WAT_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219075</xdr:colOff>
      <xdr:row>0</xdr:row>
      <xdr:rowOff>76200</xdr:rowOff>
    </xdr:from>
    <xdr:to>
      <xdr:col>15</xdr:col>
      <xdr:colOff>28575</xdr:colOff>
      <xdr:row>12</xdr:row>
      <xdr:rowOff>76200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6275" y="76200"/>
          <a:ext cx="4686300" cy="2343150"/>
        </a:xfrm>
        <a:prstGeom prst="rect">
          <a:avLst/>
        </a:prstGeom>
      </xdr:spPr>
    </xdr:pic>
    <xdr:clientData/>
  </xdr:twoCellAnchor>
  <xdr:twoCellAnchor>
    <xdr:from>
      <xdr:col>5</xdr:col>
      <xdr:colOff>142875</xdr:colOff>
      <xdr:row>10</xdr:row>
      <xdr:rowOff>102791</xdr:rowOff>
    </xdr:from>
    <xdr:to>
      <xdr:col>10</xdr:col>
      <xdr:colOff>554893</xdr:colOff>
      <xdr:row>20</xdr:row>
      <xdr:rowOff>104774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352426</xdr:colOff>
      <xdr:row>10</xdr:row>
      <xdr:rowOff>95250</xdr:rowOff>
    </xdr:from>
    <xdr:to>
      <xdr:col>16</xdr:col>
      <xdr:colOff>446613</xdr:colOff>
      <xdr:row>20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123825</xdr:colOff>
      <xdr:row>22</xdr:row>
      <xdr:rowOff>79139</xdr:rowOff>
    </xdr:from>
    <xdr:to>
      <xdr:col>10</xdr:col>
      <xdr:colOff>521396</xdr:colOff>
      <xdr:row>32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381001</xdr:colOff>
      <xdr:row>22</xdr:row>
      <xdr:rowOff>76200</xdr:rowOff>
    </xdr:from>
    <xdr:to>
      <xdr:col>16</xdr:col>
      <xdr:colOff>453518</xdr:colOff>
      <xdr:row>32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13</xdr:row>
          <xdr:rowOff>123825</xdr:rowOff>
        </xdr:from>
        <xdr:to>
          <xdr:col>3</xdr:col>
          <xdr:colOff>247650</xdr:colOff>
          <xdr:row>15</xdr:row>
          <xdr:rowOff>161925</xdr:rowOff>
        </xdr:to>
        <xdr:sp macro="" textlink="">
          <xdr:nvSpPr>
            <xdr:cNvPr id="6151" name="cmdUpdate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17</xdr:row>
          <xdr:rowOff>9525</xdr:rowOff>
        </xdr:from>
        <xdr:to>
          <xdr:col>3</xdr:col>
          <xdr:colOff>228600</xdr:colOff>
          <xdr:row>19</xdr:row>
          <xdr:rowOff>47625</xdr:rowOff>
        </xdr:to>
        <xdr:sp macro="" textlink="">
          <xdr:nvSpPr>
            <xdr:cNvPr id="6152" name="cmdGenerate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2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6</xdr:row>
          <xdr:rowOff>152400</xdr:rowOff>
        </xdr:from>
        <xdr:to>
          <xdr:col>3</xdr:col>
          <xdr:colOff>257175</xdr:colOff>
          <xdr:row>9</xdr:row>
          <xdr:rowOff>0</xdr:rowOff>
        </xdr:to>
        <xdr:sp macro="" textlink="">
          <xdr:nvSpPr>
            <xdr:cNvPr id="6153" name="cmdView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2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10</xdr:row>
          <xdr:rowOff>38100</xdr:rowOff>
        </xdr:from>
        <xdr:to>
          <xdr:col>3</xdr:col>
          <xdr:colOff>238125</xdr:colOff>
          <xdr:row>12</xdr:row>
          <xdr:rowOff>76200</xdr:rowOff>
        </xdr:to>
        <xdr:sp macro="" textlink="">
          <xdr:nvSpPr>
            <xdr:cNvPr id="6154" name="cmdNew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2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38100</xdr:colOff>
      <xdr:row>0</xdr:row>
      <xdr:rowOff>123825</xdr:rowOff>
    </xdr:from>
    <xdr:to>
      <xdr:col>2</xdr:col>
      <xdr:colOff>571500</xdr:colOff>
      <xdr:row>6</xdr:row>
      <xdr:rowOff>69396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123825"/>
          <a:ext cx="1143000" cy="1143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26</xdr:row>
          <xdr:rowOff>180975</xdr:rowOff>
        </xdr:from>
        <xdr:to>
          <xdr:col>3</xdr:col>
          <xdr:colOff>238125</xdr:colOff>
          <xdr:row>29</xdr:row>
          <xdr:rowOff>85725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2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on\AppData\Local\Temp\Rar$DIa12216.28862\P&amp;L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DataSheet"/>
      <sheetName val="data"/>
      <sheetName val="dashboard"/>
      <sheetName val="calc"/>
      <sheetName val="Statement"/>
    </sheetNames>
    <sheetDataSet>
      <sheetData sheetId="0">
        <row r="2">
          <cell r="BYE2">
            <v>4800</v>
          </cell>
          <cell r="BYF2">
            <v>4800</v>
          </cell>
          <cell r="BYG2">
            <v>4800</v>
          </cell>
        </row>
        <row r="3">
          <cell r="BYE3">
            <v>-1259</v>
          </cell>
          <cell r="BYF3">
            <v>3541</v>
          </cell>
          <cell r="BYH3">
            <v>4800</v>
          </cell>
          <cell r="BYI3">
            <v>3541</v>
          </cell>
          <cell r="BYJ3">
            <v>4800</v>
          </cell>
        </row>
        <row r="4">
          <cell r="BYE4">
            <v>3541</v>
          </cell>
          <cell r="BYF4">
            <v>7082</v>
          </cell>
          <cell r="BYH4">
            <v>3541</v>
          </cell>
          <cell r="BYI4">
            <v>7082</v>
          </cell>
          <cell r="BYJ4">
            <v>7082</v>
          </cell>
        </row>
        <row r="5">
          <cell r="BYE5">
            <v>-1800</v>
          </cell>
          <cell r="BYF5">
            <v>5282</v>
          </cell>
          <cell r="BYH5">
            <v>7082</v>
          </cell>
          <cell r="BYI5">
            <v>5282</v>
          </cell>
          <cell r="BYJ5">
            <v>7082</v>
          </cell>
        </row>
        <row r="6">
          <cell r="BYE6">
            <v>1741</v>
          </cell>
          <cell r="BYF6">
            <v>7023</v>
          </cell>
          <cell r="BYH6">
            <v>5282</v>
          </cell>
          <cell r="BYI6">
            <v>7023</v>
          </cell>
          <cell r="BYJ6">
            <v>7023</v>
          </cell>
        </row>
        <row r="7">
          <cell r="BYE7">
            <v>-1000</v>
          </cell>
          <cell r="BYF7">
            <v>6023</v>
          </cell>
          <cell r="BYH7">
            <v>7023</v>
          </cell>
          <cell r="BYI7">
            <v>6023</v>
          </cell>
          <cell r="BYJ7">
            <v>7023</v>
          </cell>
        </row>
        <row r="8">
          <cell r="BYE8"/>
          <cell r="BYG8">
            <v>6023</v>
          </cell>
        </row>
      </sheetData>
      <sheetData sheetId="1"/>
      <sheetData sheetId="2"/>
      <sheetData sheetId="3"/>
      <sheetData sheetId="4">
        <row r="4">
          <cell r="C4" t="str">
            <v>Total Income</v>
          </cell>
        </row>
        <row r="5">
          <cell r="C5" t="str">
            <v>Cost of Goods Sold</v>
          </cell>
        </row>
        <row r="6">
          <cell r="C6" t="str">
            <v xml:space="preserve">Gross Profit </v>
          </cell>
        </row>
        <row r="7">
          <cell r="C7" t="str">
            <v xml:space="preserve">Total Operating Expenses  </v>
          </cell>
        </row>
        <row r="8">
          <cell r="C8" t="str">
            <v>Operating Profit (EBIT)</v>
          </cell>
        </row>
        <row r="9">
          <cell r="C9" t="str">
            <v xml:space="preserve">Taxes    </v>
          </cell>
        </row>
        <row r="10">
          <cell r="C10" t="str">
            <v xml:space="preserve">Net Profit   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E29BE-65FE-4CC4-9F40-E5E7A208CF5E}">
  <sheetPr codeName="Sheet1"/>
  <dimension ref="A1"/>
  <sheetViews>
    <sheetView showGridLines="0" showRowColHeaders="0" zoomScale="115" zoomScaleNormal="115" workbookViewId="0">
      <selection activeCell="M12" sqref="A1:XFD104857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EE784-BECC-409A-88C5-4D82A6639E5D}">
  <sheetPr codeName="Sheet4"/>
  <dimension ref="A1"/>
  <sheetViews>
    <sheetView workbookViewId="0">
      <selection activeCell="F12" sqref="F12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4A9A8-38F0-4FA0-9083-59A28F1887C3}">
  <sheetPr codeName="Sheet5"/>
  <dimension ref="A1:AB43"/>
  <sheetViews>
    <sheetView zoomScaleNormal="100" workbookViewId="0">
      <selection activeCell="C10" sqref="C10"/>
    </sheetView>
  </sheetViews>
  <sheetFormatPr defaultRowHeight="15" x14ac:dyDescent="0.25"/>
  <cols>
    <col min="12" max="12" width="9.140625" customWidth="1"/>
    <col min="19" max="19" width="20.140625" bestFit="1" customWidth="1"/>
    <col min="20" max="20" width="14.5703125" bestFit="1" customWidth="1"/>
  </cols>
  <sheetData>
    <row r="1" spans="1:28" x14ac:dyDescent="0.25">
      <c r="A1" s="10"/>
      <c r="B1" s="10"/>
      <c r="C1" s="10"/>
      <c r="D1" s="10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9"/>
      <c r="T1" s="9"/>
      <c r="U1" s="9"/>
      <c r="V1" s="9"/>
      <c r="W1" s="9"/>
      <c r="X1" s="9"/>
      <c r="Y1" s="9"/>
      <c r="Z1" s="9"/>
      <c r="AA1" s="9"/>
      <c r="AB1" s="9"/>
    </row>
    <row r="2" spans="1:28" ht="19.5" x14ac:dyDescent="0.25">
      <c r="A2" s="10"/>
      <c r="B2" s="10"/>
      <c r="C2" s="10"/>
      <c r="D2" s="10"/>
      <c r="E2" s="12"/>
      <c r="F2" s="12"/>
      <c r="G2" s="12"/>
      <c r="H2" s="12"/>
      <c r="I2" s="12"/>
      <c r="J2" s="12"/>
      <c r="K2" s="12"/>
      <c r="L2" s="13"/>
      <c r="M2" s="14"/>
      <c r="N2" s="14"/>
      <c r="O2" s="14"/>
      <c r="P2" s="14"/>
      <c r="Q2" s="12"/>
      <c r="R2" s="12"/>
      <c r="S2" s="9"/>
      <c r="T2" s="9"/>
      <c r="U2" s="9"/>
      <c r="V2" s="9"/>
      <c r="W2" s="9"/>
      <c r="X2" s="9"/>
      <c r="Y2" s="9"/>
      <c r="Z2" s="9"/>
      <c r="AA2" s="9"/>
      <c r="AB2" s="9"/>
    </row>
    <row r="3" spans="1:28" x14ac:dyDescent="0.25">
      <c r="A3" s="10"/>
      <c r="B3" s="10"/>
      <c r="C3" s="10"/>
      <c r="D3" s="10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9"/>
      <c r="T3" s="9"/>
      <c r="U3" s="9"/>
      <c r="V3" s="9"/>
      <c r="W3" s="9"/>
      <c r="X3" s="9"/>
      <c r="Y3" s="9"/>
      <c r="Z3" s="9"/>
      <c r="AA3" s="9"/>
      <c r="AB3" s="9"/>
    </row>
    <row r="4" spans="1:28" x14ac:dyDescent="0.25">
      <c r="A4" s="10"/>
      <c r="B4" s="10"/>
      <c r="C4" s="10"/>
      <c r="D4" s="10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9"/>
      <c r="T4" s="9"/>
      <c r="U4" s="9"/>
      <c r="V4" s="9"/>
      <c r="W4" s="9"/>
      <c r="X4" s="9"/>
      <c r="Y4" s="9"/>
      <c r="Z4" s="9"/>
      <c r="AA4" s="9"/>
      <c r="AB4" s="9"/>
    </row>
    <row r="5" spans="1:28" x14ac:dyDescent="0.25">
      <c r="A5" s="10"/>
      <c r="B5" s="10"/>
      <c r="C5" s="10"/>
      <c r="D5" s="10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9"/>
      <c r="T5" s="9"/>
      <c r="U5" s="9"/>
      <c r="V5" s="9"/>
      <c r="W5" s="9"/>
      <c r="X5" s="9"/>
      <c r="Y5" s="9"/>
      <c r="Z5" s="9"/>
      <c r="AA5" s="9"/>
      <c r="AB5" s="9"/>
    </row>
    <row r="6" spans="1:28" x14ac:dyDescent="0.25">
      <c r="A6" s="10"/>
      <c r="B6" s="10"/>
      <c r="C6" s="10"/>
      <c r="D6" s="10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9"/>
      <c r="T6" s="9"/>
      <c r="U6" s="9"/>
      <c r="V6" s="9"/>
      <c r="W6" s="9"/>
      <c r="X6" s="9"/>
      <c r="Y6" s="9"/>
      <c r="Z6" s="9"/>
      <c r="AA6" s="9"/>
      <c r="AB6" s="9"/>
    </row>
    <row r="7" spans="1:28" x14ac:dyDescent="0.25">
      <c r="A7" s="10"/>
      <c r="B7" s="10"/>
      <c r="C7" s="10"/>
      <c r="D7" s="10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9"/>
      <c r="T7" s="9"/>
      <c r="U7" s="9"/>
      <c r="V7" s="9"/>
      <c r="W7" s="9"/>
      <c r="X7" s="9"/>
      <c r="Y7" s="9"/>
      <c r="Z7" s="9"/>
      <c r="AA7" s="9"/>
      <c r="AB7" s="9"/>
    </row>
    <row r="8" spans="1:28" x14ac:dyDescent="0.25">
      <c r="A8" s="10"/>
      <c r="B8" s="10"/>
      <c r="C8" s="10"/>
      <c r="D8" s="10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9"/>
      <c r="T8" s="9"/>
      <c r="U8" s="9"/>
      <c r="V8" s="9"/>
      <c r="W8" s="9"/>
      <c r="X8" s="9"/>
      <c r="Y8" s="9"/>
      <c r="Z8" s="9"/>
      <c r="AA8" s="9"/>
      <c r="AB8" s="9"/>
    </row>
    <row r="9" spans="1:28" x14ac:dyDescent="0.25">
      <c r="A9" s="10"/>
      <c r="B9" s="10"/>
      <c r="C9" s="10"/>
      <c r="D9" s="10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9"/>
      <c r="T9" s="9"/>
      <c r="U9" s="9"/>
      <c r="V9" s="9"/>
      <c r="W9" s="9"/>
      <c r="X9" s="9"/>
      <c r="Y9" s="9"/>
      <c r="Z9" s="9"/>
      <c r="AA9" s="9"/>
      <c r="AB9" s="9"/>
    </row>
    <row r="10" spans="1:28" x14ac:dyDescent="0.25">
      <c r="A10" s="10"/>
      <c r="B10" s="10"/>
      <c r="C10" s="10"/>
      <c r="D10" s="10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9"/>
      <c r="T10" s="9"/>
      <c r="U10" s="9"/>
      <c r="V10" s="9"/>
      <c r="W10" s="9"/>
      <c r="X10" s="9"/>
      <c r="Y10" s="9"/>
      <c r="Z10" s="9"/>
      <c r="AA10" s="9"/>
      <c r="AB10" s="9"/>
    </row>
    <row r="11" spans="1:28" x14ac:dyDescent="0.25">
      <c r="A11" s="10"/>
      <c r="B11" s="10"/>
      <c r="C11" s="10"/>
      <c r="D11" s="10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9"/>
      <c r="T11" s="9"/>
      <c r="U11" s="9"/>
      <c r="V11" s="9"/>
      <c r="W11" s="9"/>
      <c r="X11" s="9"/>
      <c r="Y11" s="9"/>
      <c r="Z11" s="9"/>
      <c r="AA11" s="9"/>
      <c r="AB11" s="9"/>
    </row>
    <row r="12" spans="1:28" x14ac:dyDescent="0.25">
      <c r="A12" s="10"/>
      <c r="B12" s="10"/>
      <c r="C12" s="10"/>
      <c r="D12" s="10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9"/>
      <c r="T12" s="9"/>
      <c r="U12" s="9"/>
      <c r="V12" s="9"/>
      <c r="W12" s="9"/>
      <c r="X12" s="9"/>
      <c r="Y12" s="9"/>
      <c r="Z12" s="9"/>
      <c r="AA12" s="9"/>
      <c r="AB12" s="9"/>
    </row>
    <row r="13" spans="1:28" x14ac:dyDescent="0.25">
      <c r="A13" s="10"/>
      <c r="B13" s="10"/>
      <c r="C13" s="10"/>
      <c r="D13" s="10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9"/>
      <c r="T13" s="9"/>
      <c r="U13" s="9"/>
      <c r="V13" s="9"/>
      <c r="W13" s="9"/>
      <c r="X13" s="9"/>
      <c r="Y13" s="9"/>
      <c r="Z13" s="9"/>
      <c r="AA13" s="9"/>
      <c r="AB13" s="9"/>
    </row>
    <row r="14" spans="1:28" x14ac:dyDescent="0.25">
      <c r="A14" s="10"/>
      <c r="B14" s="10"/>
      <c r="C14" s="10"/>
      <c r="D14" s="10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9"/>
      <c r="T14" s="9"/>
      <c r="U14" s="9"/>
      <c r="V14" s="9"/>
      <c r="W14" s="9"/>
      <c r="X14" s="9"/>
      <c r="Y14" s="9"/>
      <c r="Z14" s="9"/>
      <c r="AA14" s="9"/>
      <c r="AB14" s="9"/>
    </row>
    <row r="15" spans="1:28" x14ac:dyDescent="0.25">
      <c r="A15" s="10"/>
      <c r="B15" s="10"/>
      <c r="C15" s="10"/>
      <c r="D15" s="10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9"/>
      <c r="T15" s="9"/>
      <c r="U15" s="9"/>
      <c r="V15" s="9"/>
      <c r="W15" s="9"/>
      <c r="X15" s="9"/>
      <c r="Y15" s="9"/>
      <c r="Z15" s="9"/>
      <c r="AA15" s="9"/>
      <c r="AB15" s="9"/>
    </row>
    <row r="16" spans="1:28" x14ac:dyDescent="0.25">
      <c r="A16" s="10"/>
      <c r="B16" s="10"/>
      <c r="C16" s="10"/>
      <c r="D16" s="10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9"/>
      <c r="T16" s="9"/>
      <c r="U16" s="9"/>
      <c r="V16" s="9"/>
      <c r="W16" s="9"/>
      <c r="X16" s="9"/>
      <c r="Y16" s="9"/>
      <c r="Z16" s="9"/>
      <c r="AA16" s="9"/>
      <c r="AB16" s="9"/>
    </row>
    <row r="17" spans="1:28" x14ac:dyDescent="0.25">
      <c r="A17" s="10"/>
      <c r="B17" s="10"/>
      <c r="C17" s="10"/>
      <c r="D17" s="10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9"/>
      <c r="T17" s="9"/>
      <c r="U17" s="9"/>
      <c r="V17" s="9"/>
      <c r="W17" s="9"/>
      <c r="X17" s="9"/>
      <c r="Y17" s="9"/>
      <c r="Z17" s="9"/>
      <c r="AA17" s="9"/>
      <c r="AB17" s="9"/>
    </row>
    <row r="18" spans="1:28" x14ac:dyDescent="0.25">
      <c r="A18" s="10"/>
      <c r="B18" s="10"/>
      <c r="C18" s="10"/>
      <c r="D18" s="10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9"/>
      <c r="T18" s="9"/>
      <c r="U18" s="9"/>
      <c r="V18" s="9"/>
      <c r="W18" s="9"/>
      <c r="X18" s="9"/>
      <c r="Y18" s="9"/>
      <c r="Z18" s="9"/>
      <c r="AA18" s="9"/>
      <c r="AB18" s="9"/>
    </row>
    <row r="19" spans="1:28" x14ac:dyDescent="0.25">
      <c r="A19" s="10"/>
      <c r="B19" s="10"/>
      <c r="C19" s="10"/>
      <c r="D19" s="10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9"/>
      <c r="T19" s="9"/>
      <c r="U19" s="9"/>
      <c r="V19" s="9"/>
      <c r="W19" s="9"/>
      <c r="X19" s="9"/>
      <c r="Y19" s="9"/>
      <c r="Z19" s="9"/>
      <c r="AA19" s="9"/>
      <c r="AB19" s="9"/>
    </row>
    <row r="20" spans="1:28" x14ac:dyDescent="0.25">
      <c r="A20" s="10"/>
      <c r="B20" s="10"/>
      <c r="C20" s="10"/>
      <c r="D20" s="10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9"/>
      <c r="T20" s="9"/>
      <c r="U20" s="9"/>
      <c r="V20" s="9"/>
      <c r="W20" s="9"/>
      <c r="X20" s="9"/>
      <c r="Y20" s="9"/>
      <c r="Z20" s="9"/>
      <c r="AA20" s="9"/>
      <c r="AB20" s="9"/>
    </row>
    <row r="21" spans="1:28" x14ac:dyDescent="0.25">
      <c r="A21" s="10"/>
      <c r="B21" s="10"/>
      <c r="C21" s="10"/>
      <c r="D21" s="10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9"/>
      <c r="T21" s="9"/>
      <c r="U21" s="9"/>
      <c r="V21" s="9"/>
      <c r="W21" s="9"/>
      <c r="X21" s="9"/>
      <c r="Y21" s="9"/>
      <c r="Z21" s="9"/>
      <c r="AA21" s="9"/>
      <c r="AB21" s="9"/>
    </row>
    <row r="22" spans="1:28" x14ac:dyDescent="0.25">
      <c r="A22" s="10"/>
      <c r="B22" s="10"/>
      <c r="C22" s="10"/>
      <c r="D22" s="10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9"/>
      <c r="T22" s="9"/>
      <c r="U22" s="9"/>
      <c r="V22" s="9"/>
      <c r="W22" s="9"/>
      <c r="X22" s="9"/>
      <c r="Y22" s="9"/>
      <c r="Z22" s="9"/>
      <c r="AA22" s="9"/>
      <c r="AB22" s="9"/>
    </row>
    <row r="23" spans="1:28" x14ac:dyDescent="0.25">
      <c r="A23" s="10"/>
      <c r="B23" s="10"/>
      <c r="C23" s="10"/>
      <c r="D23" s="10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9"/>
      <c r="T23" s="9"/>
      <c r="U23" s="9"/>
      <c r="V23" s="9"/>
      <c r="W23" s="9"/>
      <c r="X23" s="9"/>
      <c r="Y23" s="9"/>
      <c r="Z23" s="9"/>
      <c r="AA23" s="9"/>
      <c r="AB23" s="9"/>
    </row>
    <row r="24" spans="1:28" x14ac:dyDescent="0.25">
      <c r="A24" s="10"/>
      <c r="B24" s="10"/>
      <c r="C24" s="10"/>
      <c r="D24" s="10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9"/>
      <c r="T24" s="9"/>
      <c r="U24" s="9"/>
      <c r="V24" s="9"/>
      <c r="W24" s="9"/>
      <c r="X24" s="9"/>
      <c r="Y24" s="9"/>
      <c r="Z24" s="9"/>
      <c r="AA24" s="9"/>
      <c r="AB24" s="9"/>
    </row>
    <row r="25" spans="1:28" x14ac:dyDescent="0.25">
      <c r="A25" s="10"/>
      <c r="B25" s="10"/>
      <c r="C25" s="10"/>
      <c r="D25" s="10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9"/>
      <c r="T25" s="9"/>
      <c r="U25" s="9"/>
      <c r="V25" s="9"/>
      <c r="W25" s="9"/>
      <c r="X25" s="9"/>
      <c r="Y25" s="9"/>
      <c r="Z25" s="9"/>
      <c r="AA25" s="9"/>
      <c r="AB25" s="9"/>
    </row>
    <row r="26" spans="1:28" x14ac:dyDescent="0.25">
      <c r="A26" s="10"/>
      <c r="B26" s="10"/>
      <c r="C26" s="10"/>
      <c r="D26" s="10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9"/>
      <c r="T26" s="9"/>
      <c r="U26" s="9"/>
      <c r="V26" s="9"/>
      <c r="W26" s="9"/>
      <c r="X26" s="9"/>
      <c r="Y26" s="9"/>
      <c r="Z26" s="9"/>
      <c r="AA26" s="9"/>
      <c r="AB26" s="9"/>
    </row>
    <row r="27" spans="1:28" x14ac:dyDescent="0.25">
      <c r="A27" s="10"/>
      <c r="B27" s="10"/>
      <c r="C27" s="10"/>
      <c r="D27" s="10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9"/>
      <c r="T27" s="9"/>
      <c r="U27" s="9"/>
      <c r="V27" s="9"/>
      <c r="W27" s="9"/>
      <c r="X27" s="9"/>
      <c r="Y27" s="9"/>
      <c r="Z27" s="9"/>
      <c r="AA27" s="9"/>
      <c r="AB27" s="9"/>
    </row>
    <row r="28" spans="1:28" x14ac:dyDescent="0.25">
      <c r="A28" s="10"/>
      <c r="B28" s="10"/>
      <c r="C28" s="10"/>
      <c r="D28" s="10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9"/>
      <c r="T28" s="9"/>
      <c r="U28" s="9"/>
      <c r="V28" s="9"/>
      <c r="W28" s="9"/>
      <c r="X28" s="9"/>
      <c r="Y28" s="9"/>
      <c r="Z28" s="9"/>
      <c r="AA28" s="9"/>
      <c r="AB28" s="9"/>
    </row>
    <row r="29" spans="1:28" x14ac:dyDescent="0.25">
      <c r="A29" s="10"/>
      <c r="B29" s="10"/>
      <c r="C29" s="10"/>
      <c r="D29" s="10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9"/>
      <c r="T29" s="9"/>
      <c r="U29" s="9"/>
      <c r="V29" s="9"/>
      <c r="W29" s="9"/>
      <c r="X29" s="9"/>
      <c r="Y29" s="9"/>
      <c r="Z29" s="9"/>
      <c r="AA29" s="9"/>
      <c r="AB29" s="9"/>
    </row>
    <row r="30" spans="1:28" x14ac:dyDescent="0.25">
      <c r="A30" s="10"/>
      <c r="B30" s="10"/>
      <c r="C30" s="10"/>
      <c r="D30" s="10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9"/>
      <c r="T30" s="9"/>
      <c r="U30" s="9"/>
      <c r="V30" s="9"/>
      <c r="W30" s="9"/>
      <c r="X30" s="9"/>
      <c r="Y30" s="9"/>
      <c r="Z30" s="9"/>
      <c r="AA30" s="9"/>
      <c r="AB30" s="9"/>
    </row>
    <row r="31" spans="1:28" x14ac:dyDescent="0.25">
      <c r="A31" s="10"/>
      <c r="B31" s="10"/>
      <c r="C31" s="10"/>
      <c r="D31" s="10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9"/>
      <c r="T31" s="9"/>
      <c r="U31" s="9"/>
      <c r="V31" s="9"/>
      <c r="W31" s="9"/>
      <c r="X31" s="9"/>
      <c r="Y31" s="9"/>
      <c r="Z31" s="9"/>
      <c r="AA31" s="9"/>
      <c r="AB31" s="9"/>
    </row>
    <row r="32" spans="1:28" x14ac:dyDescent="0.25">
      <c r="A32" s="10"/>
      <c r="B32" s="10"/>
      <c r="C32" s="10"/>
      <c r="D32" s="10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9"/>
      <c r="T32" s="9"/>
      <c r="U32" s="9"/>
      <c r="V32" s="9"/>
      <c r="W32" s="9"/>
      <c r="X32" s="9"/>
      <c r="Y32" s="9"/>
      <c r="Z32" s="9"/>
      <c r="AA32" s="9"/>
      <c r="AB32" s="9"/>
    </row>
    <row r="33" spans="1:28" x14ac:dyDescent="0.25">
      <c r="A33" s="10"/>
      <c r="B33" s="10"/>
      <c r="C33" s="10"/>
      <c r="D33" s="10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9"/>
      <c r="T33" s="9"/>
      <c r="U33" s="9"/>
      <c r="V33" s="9"/>
      <c r="W33" s="9"/>
      <c r="X33" s="9"/>
      <c r="Y33" s="9"/>
      <c r="Z33" s="9"/>
      <c r="AA33" s="9"/>
      <c r="AB33" s="9"/>
    </row>
    <row r="34" spans="1:28" x14ac:dyDescent="0.25">
      <c r="A34" s="10"/>
      <c r="B34" s="10"/>
      <c r="C34" s="10"/>
      <c r="D34" s="10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 x14ac:dyDescent="0.25">
      <c r="A35" s="10"/>
      <c r="B35" s="10"/>
      <c r="C35" s="10"/>
      <c r="D35" s="10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9"/>
      <c r="T35" s="9"/>
      <c r="U35" s="9"/>
      <c r="V35" s="9"/>
      <c r="W35" s="9"/>
      <c r="X35" s="9"/>
      <c r="Y35" s="9"/>
      <c r="Z35" s="9"/>
      <c r="AA35" s="9"/>
      <c r="AB35" s="9"/>
    </row>
    <row r="36" spans="1:28" x14ac:dyDescent="0.25">
      <c r="A36" s="10"/>
      <c r="B36" s="10"/>
      <c r="C36" s="10"/>
      <c r="D36" s="10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9"/>
      <c r="T36" s="9"/>
      <c r="U36" s="9"/>
      <c r="V36" s="9"/>
      <c r="W36" s="9"/>
      <c r="X36" s="9"/>
      <c r="Y36" s="9"/>
      <c r="Z36" s="9"/>
      <c r="AA36" s="9"/>
      <c r="AB36" s="9"/>
    </row>
    <row r="37" spans="1:28" x14ac:dyDescent="0.25">
      <c r="A37" s="16"/>
      <c r="B37" s="16"/>
      <c r="C37" s="16"/>
      <c r="D37" s="16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</row>
    <row r="38" spans="1:28" x14ac:dyDescent="0.25">
      <c r="A38" s="16"/>
      <c r="B38" s="16"/>
      <c r="C38" s="16"/>
      <c r="D38" s="16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</row>
    <row r="39" spans="1:28" x14ac:dyDescent="0.25">
      <c r="A39" s="16"/>
      <c r="B39" s="16"/>
      <c r="C39" s="16"/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</row>
    <row r="40" spans="1:28" x14ac:dyDescent="0.25">
      <c r="A40" s="16"/>
      <c r="B40" s="16"/>
      <c r="C40" s="16"/>
      <c r="D40" s="16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</row>
    <row r="41" spans="1:28" x14ac:dyDescent="0.25">
      <c r="A41" s="16"/>
      <c r="B41" s="16"/>
      <c r="C41" s="16"/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</row>
    <row r="42" spans="1:28" x14ac:dyDescent="0.25">
      <c r="A42" s="16"/>
      <c r="B42" s="16"/>
      <c r="C42" s="16"/>
      <c r="D42" s="16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</row>
    <row r="43" spans="1:28" x14ac:dyDescent="0.25">
      <c r="A43" s="16"/>
      <c r="B43" s="16"/>
      <c r="C43" s="16"/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</row>
  </sheetData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autoPict="0" r:id="rId5">
            <anchor moveWithCells="1">
              <from>
                <xdr:col>0</xdr:col>
                <xdr:colOff>342900</xdr:colOff>
                <xdr:row>26</xdr:row>
                <xdr:rowOff>180975</xdr:rowOff>
              </from>
              <to>
                <xdr:col>3</xdr:col>
                <xdr:colOff>238125</xdr:colOff>
                <xdr:row>29</xdr:row>
                <xdr:rowOff>85725</xdr:rowOff>
              </to>
            </anchor>
          </controlPr>
        </control>
      </mc:Choice>
      <mc:Fallback>
        <control shapeId="6155" r:id="rId4" name="CommandButton1"/>
      </mc:Fallback>
    </mc:AlternateContent>
    <mc:AlternateContent xmlns:mc="http://schemas.openxmlformats.org/markup-compatibility/2006">
      <mc:Choice Requires="x14">
        <control shapeId="6154" r:id="rId6" name="cmdNew">
          <controlPr defaultSize="0" autoLine="0" r:id="rId7">
            <anchor moveWithCells="1">
              <from>
                <xdr:col>0</xdr:col>
                <xdr:colOff>342900</xdr:colOff>
                <xdr:row>10</xdr:row>
                <xdr:rowOff>38100</xdr:rowOff>
              </from>
              <to>
                <xdr:col>3</xdr:col>
                <xdr:colOff>238125</xdr:colOff>
                <xdr:row>12</xdr:row>
                <xdr:rowOff>76200</xdr:rowOff>
              </to>
            </anchor>
          </controlPr>
        </control>
      </mc:Choice>
      <mc:Fallback>
        <control shapeId="6154" r:id="rId6" name="cmdNew"/>
      </mc:Fallback>
    </mc:AlternateContent>
    <mc:AlternateContent xmlns:mc="http://schemas.openxmlformats.org/markup-compatibility/2006">
      <mc:Choice Requires="x14">
        <control shapeId="6153" r:id="rId8" name="cmdView">
          <controlPr defaultSize="0" autoLine="0" r:id="rId9">
            <anchor moveWithCells="1">
              <from>
                <xdr:col>0</xdr:col>
                <xdr:colOff>361950</xdr:colOff>
                <xdr:row>6</xdr:row>
                <xdr:rowOff>152400</xdr:rowOff>
              </from>
              <to>
                <xdr:col>3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6153" r:id="rId8" name="cmdView"/>
      </mc:Fallback>
    </mc:AlternateContent>
    <mc:AlternateContent xmlns:mc="http://schemas.openxmlformats.org/markup-compatibility/2006">
      <mc:Choice Requires="x14">
        <control shapeId="6152" r:id="rId10" name="cmdGenerate">
          <controlPr defaultSize="0" autoLine="0" r:id="rId11">
            <anchor moveWithCells="1">
              <from>
                <xdr:col>0</xdr:col>
                <xdr:colOff>333375</xdr:colOff>
                <xdr:row>17</xdr:row>
                <xdr:rowOff>9525</xdr:rowOff>
              </from>
              <to>
                <xdr:col>3</xdr:col>
                <xdr:colOff>228600</xdr:colOff>
                <xdr:row>19</xdr:row>
                <xdr:rowOff>47625</xdr:rowOff>
              </to>
            </anchor>
          </controlPr>
        </control>
      </mc:Choice>
      <mc:Fallback>
        <control shapeId="6152" r:id="rId10" name="cmdGenerate"/>
      </mc:Fallback>
    </mc:AlternateContent>
    <mc:AlternateContent xmlns:mc="http://schemas.openxmlformats.org/markup-compatibility/2006">
      <mc:Choice Requires="x14">
        <control shapeId="6151" r:id="rId12" name="cmdUpdate">
          <controlPr defaultSize="0" autoLine="0" r:id="rId13">
            <anchor moveWithCells="1">
              <from>
                <xdr:col>0</xdr:col>
                <xdr:colOff>352425</xdr:colOff>
                <xdr:row>13</xdr:row>
                <xdr:rowOff>123825</xdr:rowOff>
              </from>
              <to>
                <xdr:col>3</xdr:col>
                <xdr:colOff>247650</xdr:colOff>
                <xdr:row>15</xdr:row>
                <xdr:rowOff>161925</xdr:rowOff>
              </to>
            </anchor>
          </controlPr>
        </control>
      </mc:Choice>
      <mc:Fallback>
        <control shapeId="6151" r:id="rId12" name="cmdUpd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99C3-149C-42DC-9A0B-6EFE0D19BE7C}">
  <sheetPr codeName="Sheet7"/>
  <dimension ref="A1"/>
  <sheetViews>
    <sheetView workbookViewId="0">
      <selection activeCell="C39" sqref="C39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BF4B-2346-4028-B0BF-08880F8D2797}">
  <sheetPr codeName="Sheet2"/>
  <dimension ref="A1:H12"/>
  <sheetViews>
    <sheetView zoomScale="85" zoomScaleNormal="85" workbookViewId="0">
      <selection activeCell="B3" sqref="B3"/>
    </sheetView>
  </sheetViews>
  <sheetFormatPr defaultColWidth="9.140625" defaultRowHeight="15" x14ac:dyDescent="0.25"/>
  <cols>
    <col min="1" max="1" width="20" style="1" customWidth="1"/>
    <col min="2" max="2" width="31.85546875" style="1" customWidth="1"/>
    <col min="3" max="4" width="9.140625" style="1"/>
    <col min="5" max="5" width="26.85546875" style="1" customWidth="1"/>
    <col min="6" max="6" width="37.7109375" style="1" customWidth="1"/>
    <col min="7" max="7" width="73.85546875" style="1" customWidth="1"/>
    <col min="8" max="8" width="33.7109375" style="1" customWidth="1"/>
    <col min="9" max="16384" width="9.140625" style="1"/>
  </cols>
  <sheetData>
    <row r="1" spans="1:8" x14ac:dyDescent="0.25">
      <c r="A1" s="2" t="s">
        <v>34</v>
      </c>
      <c r="B1" s="2" t="s">
        <v>0</v>
      </c>
      <c r="C1" s="2" t="s">
        <v>1</v>
      </c>
      <c r="D1" s="2" t="s">
        <v>2</v>
      </c>
      <c r="E1" s="2" t="s">
        <v>4</v>
      </c>
      <c r="F1" s="2" t="s">
        <v>5</v>
      </c>
      <c r="G1" s="2" t="s">
        <v>3</v>
      </c>
      <c r="H1" s="2" t="s">
        <v>6</v>
      </c>
    </row>
    <row r="2" spans="1:8" x14ac:dyDescent="0.25">
      <c r="A2" s="3">
        <v>78364</v>
      </c>
      <c r="B2" s="1" t="s">
        <v>35</v>
      </c>
      <c r="D2" s="1" t="s">
        <v>36</v>
      </c>
    </row>
    <row r="3" spans="1:8" x14ac:dyDescent="0.25">
      <c r="A3" s="3">
        <v>1</v>
      </c>
      <c r="B3" s="1" t="s">
        <v>40</v>
      </c>
      <c r="D3" s="1" t="s">
        <v>41</v>
      </c>
    </row>
    <row r="4" spans="1:8" x14ac:dyDescent="0.25">
      <c r="A4" s="3">
        <v>82025</v>
      </c>
      <c r="B4" s="1" t="s">
        <v>42</v>
      </c>
      <c r="D4" s="1" t="s">
        <v>41</v>
      </c>
    </row>
    <row r="5" spans="1:8" x14ac:dyDescent="0.25">
      <c r="A5" s="3">
        <v>88731</v>
      </c>
      <c r="B5" s="1" t="s">
        <v>43</v>
      </c>
      <c r="D5" s="1" t="s">
        <v>36</v>
      </c>
    </row>
    <row r="6" spans="1:8" x14ac:dyDescent="0.25">
      <c r="A6" s="3">
        <v>98362</v>
      </c>
      <c r="B6" s="1" t="s">
        <v>44</v>
      </c>
      <c r="C6" s="7"/>
      <c r="D6" s="1" t="s">
        <v>36</v>
      </c>
    </row>
    <row r="7" spans="1:8" x14ac:dyDescent="0.25">
      <c r="A7" s="3">
        <v>90274</v>
      </c>
      <c r="B7" s="1" t="s">
        <v>45</v>
      </c>
      <c r="D7" s="1" t="s">
        <v>36</v>
      </c>
    </row>
    <row r="8" spans="1:8" x14ac:dyDescent="0.25">
      <c r="A8" s="3">
        <v>97820</v>
      </c>
      <c r="B8" s="1" t="s">
        <v>46</v>
      </c>
      <c r="C8" s="8"/>
      <c r="D8" s="1" t="s">
        <v>41</v>
      </c>
    </row>
    <row r="9" spans="1:8" x14ac:dyDescent="0.25">
      <c r="A9" s="3">
        <v>98247</v>
      </c>
      <c r="B9" s="1" t="s">
        <v>47</v>
      </c>
      <c r="D9" s="1" t="s">
        <v>36</v>
      </c>
    </row>
    <row r="10" spans="1:8" x14ac:dyDescent="0.25">
      <c r="A10" s="1">
        <v>89274</v>
      </c>
      <c r="B10" s="1" t="s">
        <v>48</v>
      </c>
      <c r="D10" s="1" t="s">
        <v>41</v>
      </c>
    </row>
    <row r="11" spans="1:8" x14ac:dyDescent="0.25">
      <c r="A11" s="1">
        <v>83084</v>
      </c>
      <c r="B11" s="1" t="s">
        <v>49</v>
      </c>
      <c r="D11" s="1" t="s">
        <v>41</v>
      </c>
    </row>
    <row r="12" spans="1:8" x14ac:dyDescent="0.25">
      <c r="A12" s="1">
        <v>98732</v>
      </c>
      <c r="B12" s="1" t="s">
        <v>50</v>
      </c>
      <c r="D12" s="1" t="s">
        <v>41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ED722-2305-4E58-8AA7-AA2D562049EE}">
  <sheetPr codeName="Sheet6"/>
  <dimension ref="A1"/>
  <sheetViews>
    <sheetView workbookViewId="0">
      <selection activeCell="H28" sqref="H28"/>
    </sheetView>
  </sheetViews>
  <sheetFormatPr defaultRowHeight="15" x14ac:dyDescent="0.25"/>
  <cols>
    <col min="1" max="1" width="20.140625" bestFit="1" customWidth="1"/>
    <col min="2" max="2" width="14.57031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304F5-AFF8-4EE5-A5B1-D6282CA94298}">
  <sheetPr codeName="Sheet3"/>
  <dimension ref="A1:AF11"/>
  <sheetViews>
    <sheetView tabSelected="1" topLeftCell="B1" zoomScale="115" zoomScaleNormal="115" workbookViewId="0">
      <selection activeCell="H10" sqref="H10"/>
    </sheetView>
  </sheetViews>
  <sheetFormatPr defaultColWidth="9.140625" defaultRowHeight="15" x14ac:dyDescent="0.25"/>
  <cols>
    <col min="1" max="1" width="22.85546875" style="1" customWidth="1"/>
    <col min="2" max="2" width="25.7109375" style="1" customWidth="1"/>
    <col min="3" max="3" width="25.42578125" style="1" customWidth="1"/>
    <col min="4" max="4" width="33.140625" style="1" customWidth="1"/>
    <col min="5" max="5" width="31.5703125" style="1" customWidth="1"/>
    <col min="6" max="6" width="26.42578125" style="1" customWidth="1"/>
    <col min="7" max="7" width="32.7109375" style="1" customWidth="1"/>
    <col min="8" max="8" width="31.28515625" style="1" customWidth="1"/>
    <col min="9" max="9" width="33.5703125" style="1" customWidth="1"/>
    <col min="10" max="10" width="29.7109375" style="1" customWidth="1"/>
    <col min="11" max="11" width="34.7109375" style="1" customWidth="1"/>
    <col min="12" max="12" width="31" style="1" customWidth="1"/>
    <col min="13" max="13" width="15.5703125" style="1" customWidth="1"/>
    <col min="14" max="14" width="25" style="1" customWidth="1"/>
    <col min="15" max="15" width="22.85546875" style="1" customWidth="1"/>
    <col min="16" max="16" width="27" style="1" customWidth="1"/>
    <col min="17" max="17" width="28.5703125" style="1" customWidth="1"/>
    <col min="18" max="18" width="28.85546875" style="1" customWidth="1"/>
    <col min="19" max="19" width="22.42578125" style="1" customWidth="1"/>
    <col min="20" max="20" width="25" style="1" customWidth="1"/>
    <col min="21" max="21" width="16.140625" style="1" customWidth="1"/>
    <col min="22" max="22" width="13.5703125" style="1" customWidth="1"/>
    <col min="23" max="23" width="11.42578125" style="1" customWidth="1"/>
    <col min="24" max="24" width="15.5703125" style="1" customWidth="1"/>
    <col min="25" max="25" width="24.42578125" style="1" customWidth="1"/>
    <col min="26" max="26" width="25.7109375" style="1" customWidth="1"/>
    <col min="27" max="27" width="21.5703125" style="1" customWidth="1"/>
    <col min="28" max="28" width="26.85546875" style="1" customWidth="1"/>
    <col min="29" max="29" width="29.42578125" style="1" customWidth="1"/>
    <col min="30" max="30" width="18.85546875" style="1" customWidth="1"/>
    <col min="31" max="31" width="25.7109375" style="1" customWidth="1"/>
    <col min="32" max="32" width="28.7109375" style="1" customWidth="1"/>
    <col min="33" max="16384" width="9.140625" style="1"/>
  </cols>
  <sheetData>
    <row r="1" spans="1:32" ht="15.75" thickBot="1" x14ac:dyDescent="0.3">
      <c r="A1" s="2" t="s">
        <v>7</v>
      </c>
      <c r="B1" s="2" t="s">
        <v>34</v>
      </c>
      <c r="C1" s="2" t="s">
        <v>0</v>
      </c>
      <c r="D1" s="2" t="s">
        <v>6</v>
      </c>
      <c r="E1" s="2" t="s">
        <v>8</v>
      </c>
      <c r="F1" s="2" t="s">
        <v>9</v>
      </c>
      <c r="G1" s="2" t="s">
        <v>10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R1" s="2" t="s">
        <v>21</v>
      </c>
      <c r="S1" s="2" t="s">
        <v>22</v>
      </c>
      <c r="T1" s="2" t="s">
        <v>23</v>
      </c>
      <c r="U1" s="2" t="s">
        <v>24</v>
      </c>
      <c r="V1" s="2" t="s">
        <v>25</v>
      </c>
      <c r="W1" s="2" t="s">
        <v>26</v>
      </c>
      <c r="X1" s="2" t="s">
        <v>27</v>
      </c>
      <c r="Y1" s="2" t="s">
        <v>8</v>
      </c>
      <c r="Z1" s="2" t="s">
        <v>29</v>
      </c>
      <c r="AA1" s="2" t="s">
        <v>9</v>
      </c>
      <c r="AB1" s="2" t="s">
        <v>28</v>
      </c>
      <c r="AC1" s="2" t="s">
        <v>30</v>
      </c>
      <c r="AD1" s="2" t="s">
        <v>31</v>
      </c>
      <c r="AE1" s="2" t="s">
        <v>32</v>
      </c>
      <c r="AF1" s="2" t="s">
        <v>33</v>
      </c>
    </row>
    <row r="2" spans="1:32" ht="15.75" thickBot="1" x14ac:dyDescent="0.3">
      <c r="A2" s="17">
        <v>1</v>
      </c>
      <c r="B2" s="4">
        <v>78364</v>
      </c>
      <c r="C2" s="4" t="s">
        <v>35</v>
      </c>
      <c r="D2" s="4" t="s">
        <v>37</v>
      </c>
      <c r="E2" s="11">
        <v>25000</v>
      </c>
      <c r="F2" s="11">
        <v>2343.75</v>
      </c>
      <c r="G2" s="11">
        <v>11000</v>
      </c>
      <c r="H2" s="4">
        <v>859.38</v>
      </c>
      <c r="I2" s="4">
        <v>800</v>
      </c>
      <c r="J2" s="11">
        <v>975</v>
      </c>
      <c r="K2" s="4">
        <v>100</v>
      </c>
      <c r="L2" s="11">
        <v>6605.83</v>
      </c>
      <c r="M2" s="4">
        <v>31.25</v>
      </c>
      <c r="N2" s="4">
        <v>500</v>
      </c>
      <c r="O2" s="4">
        <v>0</v>
      </c>
      <c r="P2" s="11">
        <v>1200</v>
      </c>
      <c r="Q2" s="11">
        <v>3000</v>
      </c>
      <c r="R2" s="11">
        <v>39171.879999999997</v>
      </c>
      <c r="S2" s="11">
        <v>37296.879999999997</v>
      </c>
      <c r="T2" s="19">
        <v>25991.040000000001</v>
      </c>
      <c r="U2" s="4" t="s">
        <v>38</v>
      </c>
      <c r="V2" s="4" t="s">
        <v>39</v>
      </c>
      <c r="W2" s="4">
        <v>3</v>
      </c>
      <c r="X2" s="5">
        <v>44330</v>
      </c>
      <c r="Y2" s="8">
        <v>5000</v>
      </c>
      <c r="Z2" s="1">
        <v>5</v>
      </c>
      <c r="AA2" s="1">
        <v>781.25</v>
      </c>
      <c r="AB2" s="1">
        <v>3</v>
      </c>
      <c r="AC2" s="1">
        <v>5500</v>
      </c>
      <c r="AD2" s="1">
        <v>2</v>
      </c>
      <c r="AE2" s="1">
        <v>859.38</v>
      </c>
      <c r="AF2" s="1">
        <v>1</v>
      </c>
    </row>
    <row r="3" spans="1:32" ht="15.75" thickBot="1" x14ac:dyDescent="0.3">
      <c r="A3" s="18">
        <v>2</v>
      </c>
      <c r="B3" s="1">
        <v>82025</v>
      </c>
      <c r="C3" s="1" t="s">
        <v>42</v>
      </c>
      <c r="D3" s="1" t="s">
        <v>37</v>
      </c>
      <c r="E3" s="8">
        <v>35000</v>
      </c>
      <c r="F3" s="8">
        <v>3125</v>
      </c>
      <c r="G3" s="8">
        <v>5500</v>
      </c>
      <c r="H3" s="1">
        <v>859.38</v>
      </c>
      <c r="I3" s="1">
        <v>800</v>
      </c>
      <c r="J3" s="8">
        <v>975</v>
      </c>
      <c r="K3" s="1">
        <v>100</v>
      </c>
      <c r="L3" s="8">
        <v>8196.4599999999991</v>
      </c>
      <c r="M3" s="1">
        <v>10.42</v>
      </c>
      <c r="N3" s="1">
        <v>750</v>
      </c>
      <c r="O3" s="1">
        <v>250</v>
      </c>
      <c r="P3" s="8">
        <v>1000</v>
      </c>
      <c r="Q3" s="8">
        <v>2500</v>
      </c>
      <c r="R3" s="8">
        <v>53848.959999999999</v>
      </c>
      <c r="S3" s="8">
        <v>51973.96</v>
      </c>
      <c r="T3" s="20">
        <v>29902.5</v>
      </c>
      <c r="U3" s="1" t="s">
        <v>38</v>
      </c>
      <c r="V3" s="1" t="s">
        <v>39</v>
      </c>
      <c r="W3" s="1">
        <v>3</v>
      </c>
      <c r="X3" s="6">
        <v>44330</v>
      </c>
      <c r="Y3" s="8">
        <v>5000</v>
      </c>
      <c r="Z3" s="1">
        <v>7</v>
      </c>
      <c r="AA3" s="1">
        <v>781.25</v>
      </c>
      <c r="AB3" s="1">
        <v>4</v>
      </c>
      <c r="AC3" s="8">
        <v>5500</v>
      </c>
      <c r="AD3" s="1">
        <v>1</v>
      </c>
      <c r="AE3" s="1">
        <v>859.38</v>
      </c>
      <c r="AF3" s="1">
        <v>1</v>
      </c>
    </row>
    <row r="4" spans="1:32" ht="15.75" thickBot="1" x14ac:dyDescent="0.3">
      <c r="A4" s="18">
        <v>4</v>
      </c>
      <c r="B4" s="1">
        <v>88731</v>
      </c>
      <c r="C4" s="1" t="s">
        <v>43</v>
      </c>
      <c r="D4" s="1" t="s">
        <v>37</v>
      </c>
      <c r="E4" s="8">
        <v>40000</v>
      </c>
      <c r="F4" s="8">
        <v>3906.25</v>
      </c>
      <c r="G4" s="8">
        <v>16500</v>
      </c>
      <c r="H4" s="8">
        <v>2578.14</v>
      </c>
      <c r="I4" s="1">
        <v>800</v>
      </c>
      <c r="J4" s="1">
        <v>975</v>
      </c>
      <c r="K4" s="8">
        <v>100</v>
      </c>
      <c r="L4" s="8">
        <v>13743.33</v>
      </c>
      <c r="M4" s="1">
        <v>20.83</v>
      </c>
      <c r="N4" s="8">
        <v>0</v>
      </c>
      <c r="O4" s="1">
        <v>700</v>
      </c>
      <c r="P4" s="8">
        <v>1400</v>
      </c>
      <c r="Q4" s="8">
        <v>1400</v>
      </c>
      <c r="R4" s="8">
        <v>62182.31</v>
      </c>
      <c r="S4" s="8">
        <v>60307.31</v>
      </c>
      <c r="T4" s="20">
        <v>43845.21</v>
      </c>
      <c r="U4" s="1" t="s">
        <v>38</v>
      </c>
      <c r="V4" s="1" t="s">
        <v>39</v>
      </c>
      <c r="W4" s="1">
        <v>3</v>
      </c>
      <c r="X4" s="6">
        <v>44330</v>
      </c>
      <c r="Y4" s="8">
        <v>5000</v>
      </c>
      <c r="Z4" s="1">
        <v>8</v>
      </c>
      <c r="AA4" s="1">
        <v>781.25</v>
      </c>
      <c r="AB4" s="1">
        <v>5</v>
      </c>
      <c r="AC4" s="8">
        <v>5500</v>
      </c>
      <c r="AD4" s="1">
        <v>3</v>
      </c>
      <c r="AE4" s="1">
        <v>859.38</v>
      </c>
      <c r="AF4" s="1">
        <v>3</v>
      </c>
    </row>
    <row r="5" spans="1:32" ht="15.75" thickBot="1" x14ac:dyDescent="0.3">
      <c r="A5" s="18">
        <v>5</v>
      </c>
      <c r="B5" s="1">
        <v>98362</v>
      </c>
      <c r="C5" s="1" t="s">
        <v>44</v>
      </c>
      <c r="D5" s="1" t="s">
        <v>37</v>
      </c>
      <c r="E5" s="8">
        <v>45000</v>
      </c>
      <c r="F5" s="8">
        <v>5468.75</v>
      </c>
      <c r="G5" s="8">
        <v>27500</v>
      </c>
      <c r="H5" s="8">
        <v>2578.14</v>
      </c>
      <c r="I5" s="1">
        <v>800</v>
      </c>
      <c r="J5" s="1">
        <v>975</v>
      </c>
      <c r="K5" s="1">
        <v>100</v>
      </c>
      <c r="L5" s="8">
        <v>19005.830000000002</v>
      </c>
      <c r="M5" s="1">
        <v>41.67</v>
      </c>
      <c r="N5" s="1">
        <v>500</v>
      </c>
      <c r="O5" s="1">
        <v>750</v>
      </c>
      <c r="P5" s="8">
        <v>2000</v>
      </c>
      <c r="Q5" s="8">
        <v>1500</v>
      </c>
      <c r="R5" s="8">
        <v>80505.22</v>
      </c>
      <c r="S5" s="8">
        <v>78630.22</v>
      </c>
      <c r="T5" s="20">
        <v>54874.38</v>
      </c>
      <c r="U5" s="1" t="s">
        <v>38</v>
      </c>
      <c r="V5" s="1" t="s">
        <v>39</v>
      </c>
      <c r="W5" s="1">
        <v>3</v>
      </c>
      <c r="X5" s="6">
        <v>44330</v>
      </c>
      <c r="Y5" s="8">
        <v>5000</v>
      </c>
      <c r="Z5" s="1">
        <v>9</v>
      </c>
      <c r="AA5" s="1">
        <v>781.25</v>
      </c>
      <c r="AB5" s="1">
        <v>7</v>
      </c>
      <c r="AC5" s="8">
        <v>5500</v>
      </c>
      <c r="AD5" s="1">
        <v>5</v>
      </c>
      <c r="AE5" s="1">
        <v>859.38</v>
      </c>
      <c r="AF5" s="1">
        <v>3</v>
      </c>
    </row>
    <row r="6" spans="1:32" ht="15.75" thickBot="1" x14ac:dyDescent="0.3">
      <c r="A6" s="18">
        <v>6</v>
      </c>
      <c r="B6" s="1">
        <v>90274</v>
      </c>
      <c r="C6" s="1" t="s">
        <v>45</v>
      </c>
      <c r="D6" s="1" t="s">
        <v>37</v>
      </c>
      <c r="E6" s="8">
        <v>55000</v>
      </c>
      <c r="F6" s="8">
        <v>4687.5</v>
      </c>
      <c r="G6" s="8">
        <v>22000</v>
      </c>
      <c r="H6" s="8">
        <v>1718.76</v>
      </c>
      <c r="I6" s="1">
        <v>800</v>
      </c>
      <c r="J6" s="1">
        <v>975</v>
      </c>
      <c r="K6" s="1">
        <v>100</v>
      </c>
      <c r="L6" s="8">
        <v>19860.52</v>
      </c>
      <c r="M6" s="1">
        <v>52.08</v>
      </c>
      <c r="N6" s="1">
        <v>500</v>
      </c>
      <c r="O6" s="1">
        <v>750</v>
      </c>
      <c r="P6" s="8">
        <v>1200</v>
      </c>
      <c r="Q6" s="8">
        <v>3500</v>
      </c>
      <c r="R6" s="8">
        <v>83354.179999999993</v>
      </c>
      <c r="S6" s="8">
        <v>81479.179999999993</v>
      </c>
      <c r="T6" s="20">
        <v>55668.65</v>
      </c>
      <c r="U6" s="1" t="s">
        <v>38</v>
      </c>
      <c r="V6" s="1" t="s">
        <v>39</v>
      </c>
      <c r="W6" s="1">
        <v>3</v>
      </c>
      <c r="X6" s="6">
        <v>44330</v>
      </c>
      <c r="Y6" s="8">
        <v>5000</v>
      </c>
      <c r="Z6" s="1">
        <v>11</v>
      </c>
      <c r="AA6" s="1">
        <v>781.25</v>
      </c>
      <c r="AB6" s="1">
        <v>6</v>
      </c>
      <c r="AC6" s="8">
        <v>5500</v>
      </c>
      <c r="AD6" s="1">
        <v>4</v>
      </c>
      <c r="AE6" s="1">
        <v>859.38</v>
      </c>
      <c r="AF6" s="1">
        <v>2</v>
      </c>
    </row>
    <row r="7" spans="1:32" ht="15.75" thickBot="1" x14ac:dyDescent="0.3">
      <c r="A7" s="18">
        <v>7</v>
      </c>
      <c r="B7" s="1">
        <v>97820</v>
      </c>
      <c r="C7" s="1" t="s">
        <v>46</v>
      </c>
      <c r="D7" s="1" t="s">
        <v>37</v>
      </c>
      <c r="E7" s="8">
        <v>45000</v>
      </c>
      <c r="F7" s="8">
        <v>3906.25</v>
      </c>
      <c r="G7" s="8">
        <v>16500</v>
      </c>
      <c r="H7" s="8">
        <v>1718.76</v>
      </c>
      <c r="I7" s="1">
        <v>800</v>
      </c>
      <c r="J7" s="1">
        <v>975</v>
      </c>
      <c r="K7" s="1">
        <v>100</v>
      </c>
      <c r="L7" s="8">
        <v>14988.65</v>
      </c>
      <c r="M7" s="1">
        <v>10.42</v>
      </c>
      <c r="N7" s="1">
        <v>800</v>
      </c>
      <c r="O7" s="1">
        <v>0</v>
      </c>
      <c r="P7" s="8">
        <v>1500</v>
      </c>
      <c r="Q7" s="8">
        <v>2000</v>
      </c>
      <c r="R7" s="8">
        <v>83442.81</v>
      </c>
      <c r="S7" s="8">
        <v>81567.81</v>
      </c>
      <c r="T7" s="20">
        <v>45950.94</v>
      </c>
      <c r="U7" s="1" t="s">
        <v>38</v>
      </c>
      <c r="V7" s="1" t="s">
        <v>39</v>
      </c>
      <c r="W7" s="1">
        <v>3</v>
      </c>
      <c r="X7" s="6">
        <v>44330</v>
      </c>
      <c r="Y7" s="8">
        <v>5000</v>
      </c>
      <c r="Z7" s="1">
        <v>9</v>
      </c>
      <c r="AA7" s="1">
        <v>781.25</v>
      </c>
      <c r="AB7" s="1">
        <v>5</v>
      </c>
      <c r="AC7" s="8">
        <v>5500</v>
      </c>
      <c r="AD7" s="1">
        <v>3</v>
      </c>
      <c r="AE7" s="1">
        <v>859.38</v>
      </c>
      <c r="AF7" s="1">
        <v>2</v>
      </c>
    </row>
    <row r="8" spans="1:32" ht="15.75" thickBot="1" x14ac:dyDescent="0.3">
      <c r="A8" s="18">
        <v>8</v>
      </c>
      <c r="B8" s="1">
        <v>98247</v>
      </c>
      <c r="C8" s="1" t="s">
        <v>47</v>
      </c>
      <c r="D8" s="1" t="s">
        <v>37</v>
      </c>
      <c r="E8" s="8">
        <v>50000</v>
      </c>
      <c r="F8" s="8">
        <v>5468.75</v>
      </c>
      <c r="G8" s="8">
        <v>27500</v>
      </c>
      <c r="H8" s="1">
        <v>859.38</v>
      </c>
      <c r="I8" s="1">
        <v>800</v>
      </c>
      <c r="J8" s="1">
        <v>975</v>
      </c>
      <c r="K8" s="1">
        <v>100</v>
      </c>
      <c r="L8" s="8">
        <v>19996.46</v>
      </c>
      <c r="M8" s="1">
        <v>20.83</v>
      </c>
      <c r="N8" s="8">
        <v>1000</v>
      </c>
      <c r="O8" s="1">
        <v>0</v>
      </c>
      <c r="P8" s="8">
        <v>1000</v>
      </c>
      <c r="Q8" s="8">
        <v>3800</v>
      </c>
      <c r="R8" s="8">
        <v>83807.3</v>
      </c>
      <c r="S8" s="8">
        <v>81932.3</v>
      </c>
      <c r="T8" s="20">
        <v>56135.83</v>
      </c>
      <c r="U8" s="1" t="s">
        <v>38</v>
      </c>
      <c r="V8" s="1" t="s">
        <v>39</v>
      </c>
      <c r="W8" s="1">
        <v>3</v>
      </c>
      <c r="X8" s="6">
        <v>44330</v>
      </c>
      <c r="Y8" s="8">
        <v>5000</v>
      </c>
      <c r="Z8" s="1">
        <v>10</v>
      </c>
      <c r="AA8" s="1">
        <v>781.25</v>
      </c>
      <c r="AB8" s="1">
        <v>7</v>
      </c>
      <c r="AC8" s="8">
        <v>5500</v>
      </c>
      <c r="AD8" s="1">
        <v>5</v>
      </c>
      <c r="AE8" s="1">
        <v>859.38</v>
      </c>
      <c r="AF8" s="1">
        <v>1</v>
      </c>
    </row>
    <row r="9" spans="1:32" ht="15.75" thickBot="1" x14ac:dyDescent="0.3">
      <c r="A9" s="18">
        <v>9</v>
      </c>
      <c r="B9" s="1">
        <v>89274</v>
      </c>
      <c r="C9" s="1" t="s">
        <v>48</v>
      </c>
      <c r="D9" s="1" t="s">
        <v>37</v>
      </c>
      <c r="E9" s="8">
        <v>40000</v>
      </c>
      <c r="F9" s="8">
        <v>3906.25</v>
      </c>
      <c r="G9" s="8">
        <v>22000</v>
      </c>
      <c r="H9" s="8">
        <v>4296.8999999999996</v>
      </c>
      <c r="I9" s="1">
        <v>800</v>
      </c>
      <c r="J9" s="1">
        <v>975</v>
      </c>
      <c r="K9" s="1">
        <v>100</v>
      </c>
      <c r="L9" s="8">
        <v>15902.71</v>
      </c>
      <c r="M9" s="1">
        <v>41.67</v>
      </c>
      <c r="N9" s="1">
        <v>750</v>
      </c>
      <c r="O9" s="1">
        <v>750</v>
      </c>
      <c r="P9" s="8">
        <v>2000</v>
      </c>
      <c r="Q9" s="8">
        <v>2000</v>
      </c>
      <c r="R9" s="8">
        <v>70161.48</v>
      </c>
      <c r="S9" s="8">
        <v>68286.48</v>
      </c>
      <c r="T9" s="20">
        <v>46883.75</v>
      </c>
      <c r="U9" s="1" t="s">
        <v>38</v>
      </c>
      <c r="V9" s="1" t="s">
        <v>39</v>
      </c>
      <c r="W9" s="1">
        <v>3</v>
      </c>
      <c r="X9" s="6">
        <v>44330</v>
      </c>
      <c r="Y9" s="8">
        <v>5000</v>
      </c>
      <c r="Z9" s="1">
        <v>8</v>
      </c>
      <c r="AA9" s="1">
        <v>781.25</v>
      </c>
      <c r="AB9" s="1">
        <v>5</v>
      </c>
      <c r="AC9" s="8">
        <v>5500</v>
      </c>
      <c r="AD9" s="1">
        <v>4</v>
      </c>
      <c r="AE9" s="1">
        <v>859.38</v>
      </c>
      <c r="AF9" s="1">
        <v>5</v>
      </c>
    </row>
    <row r="10" spans="1:32" ht="15.75" thickBot="1" x14ac:dyDescent="0.3">
      <c r="A10" s="18">
        <v>10</v>
      </c>
      <c r="B10" s="1">
        <v>83084</v>
      </c>
      <c r="C10" s="1" t="s">
        <v>49</v>
      </c>
      <c r="D10" s="1" t="s">
        <v>37</v>
      </c>
      <c r="E10" s="8">
        <v>35000</v>
      </c>
      <c r="F10" s="8">
        <v>7031.25</v>
      </c>
      <c r="G10" s="8">
        <v>27500</v>
      </c>
      <c r="H10" s="8">
        <v>4296.8999999999996</v>
      </c>
      <c r="I10" s="1">
        <v>800</v>
      </c>
      <c r="J10" s="1">
        <v>975</v>
      </c>
      <c r="K10" s="1">
        <v>100</v>
      </c>
      <c r="L10" s="8">
        <v>16999.580000000002</v>
      </c>
      <c r="M10" s="1">
        <v>10.42</v>
      </c>
      <c r="N10" s="1">
        <v>200</v>
      </c>
      <c r="O10" s="1">
        <v>500</v>
      </c>
      <c r="P10" s="8">
        <v>1700</v>
      </c>
      <c r="Q10" s="8">
        <v>1300</v>
      </c>
      <c r="R10" s="8">
        <v>73817.73</v>
      </c>
      <c r="S10" s="8">
        <v>71942.73</v>
      </c>
      <c r="T10" s="20">
        <v>51243.13</v>
      </c>
      <c r="U10" s="1" t="s">
        <v>38</v>
      </c>
      <c r="V10" s="1" t="s">
        <v>39</v>
      </c>
      <c r="W10" s="1">
        <v>3</v>
      </c>
      <c r="X10" s="6">
        <v>44330</v>
      </c>
      <c r="Y10" s="8">
        <v>5000</v>
      </c>
      <c r="Z10" s="1">
        <v>7</v>
      </c>
      <c r="AA10" s="1">
        <v>781.25</v>
      </c>
      <c r="AB10" s="1">
        <v>9</v>
      </c>
      <c r="AC10" s="8">
        <v>5500</v>
      </c>
      <c r="AD10" s="1">
        <v>5</v>
      </c>
      <c r="AE10" s="1">
        <v>859.38</v>
      </c>
      <c r="AF10" s="1">
        <v>5</v>
      </c>
    </row>
    <row r="11" spans="1:32" ht="15.75" thickBot="1" x14ac:dyDescent="0.3">
      <c r="A11" s="18">
        <v>11</v>
      </c>
      <c r="B11" s="1">
        <v>98732</v>
      </c>
      <c r="C11" s="1" t="s">
        <v>50</v>
      </c>
      <c r="D11" s="1" t="s">
        <v>37</v>
      </c>
      <c r="E11" s="8">
        <v>55000</v>
      </c>
      <c r="F11" s="8">
        <v>3125</v>
      </c>
      <c r="G11" s="8">
        <v>5500</v>
      </c>
      <c r="H11" s="8">
        <v>4296.8999999999996</v>
      </c>
      <c r="I11" s="1">
        <v>800</v>
      </c>
      <c r="J11" s="1">
        <v>975</v>
      </c>
      <c r="K11" s="1">
        <v>100</v>
      </c>
      <c r="L11" s="8">
        <v>15218.33</v>
      </c>
      <c r="M11" s="1">
        <v>41.67</v>
      </c>
      <c r="N11" s="8">
        <v>1000</v>
      </c>
      <c r="O11" s="1">
        <v>0</v>
      </c>
      <c r="P11" s="8">
        <v>1500</v>
      </c>
      <c r="Q11" s="8">
        <v>2000</v>
      </c>
      <c r="R11" s="8">
        <v>67880.23</v>
      </c>
      <c r="S11" s="8">
        <v>66005.23</v>
      </c>
      <c r="T11" s="20">
        <v>46286.879999999997</v>
      </c>
      <c r="U11" s="1" t="s">
        <v>38</v>
      </c>
      <c r="V11" s="1" t="s">
        <v>39</v>
      </c>
      <c r="W11" s="1">
        <v>3</v>
      </c>
      <c r="X11" s="6">
        <v>44330</v>
      </c>
      <c r="Y11" s="8">
        <v>5000</v>
      </c>
      <c r="Z11" s="1">
        <v>11</v>
      </c>
      <c r="AA11" s="1">
        <v>781.25</v>
      </c>
      <c r="AB11" s="1">
        <v>4</v>
      </c>
      <c r="AC11" s="8">
        <v>5500</v>
      </c>
      <c r="AD11" s="1">
        <v>1</v>
      </c>
      <c r="AE11" s="1">
        <v>859.38</v>
      </c>
      <c r="AF11" s="1">
        <v>5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Main</vt:lpstr>
      <vt:lpstr>Sheet1</vt:lpstr>
      <vt:lpstr>Home</vt:lpstr>
      <vt:lpstr>Sheet4</vt:lpstr>
      <vt:lpstr>Employee Table</vt:lpstr>
      <vt:lpstr>Sheet3</vt:lpstr>
      <vt:lpstr>Payslip Table</vt:lpstr>
      <vt:lpstr>employees</vt:lpstr>
      <vt:lpstr>employeesList</vt:lpstr>
      <vt:lpstr>employeesSource</vt:lpstr>
      <vt:lpstr>newPayslip</vt:lpstr>
      <vt:lpstr>payslip</vt:lpstr>
      <vt:lpstr>TotalNetPay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</dc:creator>
  <cp:lastModifiedBy>Ron</cp:lastModifiedBy>
  <cp:lastPrinted>2021-05-14T06:43:19Z</cp:lastPrinted>
  <dcterms:created xsi:type="dcterms:W3CDTF">2021-05-11T09:49:28Z</dcterms:created>
  <dcterms:modified xsi:type="dcterms:W3CDTF">2021-05-14T13:35:31Z</dcterms:modified>
</cp:coreProperties>
</file>